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BE52854-706B-4F39-9E22-6006EC679B92}" xr6:coauthVersionLast="47" xr6:coauthVersionMax="47" xr10:uidLastSave="{00000000-0000-0000-0000-000000000000}"/>
  <bookViews>
    <workbookView xWindow="-108" yWindow="-108" windowWidth="23256" windowHeight="12456" activeTab="4" xr2:uid="{34050D5C-01B8-42C7-8AF9-AD5E9D121E40}"/>
  </bookViews>
  <sheets>
    <sheet name="Sheet5" sheetId="5" r:id="rId1"/>
    <sheet name="Sheet6" sheetId="6" r:id="rId2"/>
    <sheet name="Sheet1" sheetId="1" r:id="rId3"/>
    <sheet name="Sheet3" sheetId="3" state="hidden" r:id="rId4"/>
    <sheet name="Sheet2" sheetId="2" r:id="rId5"/>
  </sheets>
  <calcPr calcId="191029"/>
  <pivotCaches>
    <pivotCache cacheId="0" r:id="rId6"/>
    <pivotCache cacheId="1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 a="1"/>
  <c r="K5" i="1" s="1"/>
  <c r="I42" i="1"/>
  <c r="I75" i="1"/>
  <c r="I124" i="1"/>
  <c r="I118" i="1"/>
  <c r="I112" i="1"/>
  <c r="I105" i="1"/>
  <c r="I96" i="1"/>
  <c r="I86" i="1"/>
  <c r="I79" i="1"/>
  <c r="I66" i="1"/>
  <c r="I52" i="1"/>
  <c r="I29" i="1"/>
  <c r="I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<sst xmlns="http://schemas.openxmlformats.org/spreadsheetml/2006/main" count="591" uniqueCount="116">
  <si>
    <t>COSTUMER NAME</t>
  </si>
  <si>
    <t>PRODUCT</t>
  </si>
  <si>
    <t>QTY</t>
  </si>
  <si>
    <t>PAYMENT STATUS</t>
  </si>
  <si>
    <t xml:space="preserve"> LOCATION</t>
  </si>
  <si>
    <t>DATE</t>
  </si>
  <si>
    <t>DRESS</t>
  </si>
  <si>
    <t>CANADA</t>
  </si>
  <si>
    <t>TOYIN</t>
  </si>
  <si>
    <t xml:space="preserve">GIFT </t>
  </si>
  <si>
    <t>LASE</t>
  </si>
  <si>
    <t>IBIRONKE</t>
  </si>
  <si>
    <t>DARA</t>
  </si>
  <si>
    <t>TEDIRI</t>
  </si>
  <si>
    <t>SARAH</t>
  </si>
  <si>
    <t>MRS OLAYINKA</t>
  </si>
  <si>
    <t>BUNMI</t>
  </si>
  <si>
    <t>ARIYIBI</t>
  </si>
  <si>
    <t>MILORLAR</t>
  </si>
  <si>
    <t>LOLA</t>
  </si>
  <si>
    <t>BOJ</t>
  </si>
  <si>
    <t>MOFOLUWA</t>
  </si>
  <si>
    <t>ASO EBI</t>
  </si>
  <si>
    <t>2 PIECE</t>
  </si>
  <si>
    <t>USA</t>
  </si>
  <si>
    <t>WORKSHOP</t>
  </si>
  <si>
    <t>SUIT SET</t>
  </si>
  <si>
    <t>UK</t>
  </si>
  <si>
    <t>PRICE</t>
  </si>
  <si>
    <t>PAID</t>
  </si>
  <si>
    <t>TREASURE</t>
  </si>
  <si>
    <t>OPEMIPO</t>
  </si>
  <si>
    <t>KEMI</t>
  </si>
  <si>
    <t>FOLLY BEE</t>
  </si>
  <si>
    <t>BIG DEE</t>
  </si>
  <si>
    <t>FUMBI</t>
  </si>
  <si>
    <t>ORCHID</t>
  </si>
  <si>
    <t>HELEN</t>
  </si>
  <si>
    <t>FISAYO</t>
  </si>
  <si>
    <t>MARIAM</t>
  </si>
  <si>
    <t>RACHEAL</t>
  </si>
  <si>
    <t>CUSTOM</t>
  </si>
  <si>
    <t>TEXAS</t>
  </si>
  <si>
    <t>MILORLA</t>
  </si>
  <si>
    <t>LOVET</t>
  </si>
  <si>
    <t>NEFENTLY</t>
  </si>
  <si>
    <t>SUSAN</t>
  </si>
  <si>
    <t>MARY</t>
  </si>
  <si>
    <t>TUNMISE</t>
  </si>
  <si>
    <t>KENDAL</t>
  </si>
  <si>
    <t>CHI CHI</t>
  </si>
  <si>
    <t>KIMBERLY</t>
  </si>
  <si>
    <t>TEMI</t>
  </si>
  <si>
    <t>MUMMY DAMI</t>
  </si>
  <si>
    <t>MOFOLOWA</t>
  </si>
  <si>
    <t>MRS FINE</t>
  </si>
  <si>
    <t>AMY</t>
  </si>
  <si>
    <t>MPESA</t>
  </si>
  <si>
    <t>SIERRA</t>
  </si>
  <si>
    <t>MINNE</t>
  </si>
  <si>
    <t>BUBU</t>
  </si>
  <si>
    <t>GERMANY</t>
  </si>
  <si>
    <t>TOP</t>
  </si>
  <si>
    <t>FIYIN</t>
  </si>
  <si>
    <t>KAFTAL</t>
  </si>
  <si>
    <t>MUMMY AYATO</t>
  </si>
  <si>
    <t>SIMI</t>
  </si>
  <si>
    <t>WHITE WEDDING DRESS</t>
  </si>
  <si>
    <t>EMYSHAIRLINE</t>
  </si>
  <si>
    <t>BERRY</t>
  </si>
  <si>
    <t>MRS OLABUJO</t>
  </si>
  <si>
    <t>DAMI AMOSUN</t>
  </si>
  <si>
    <t>CUSTOM DRESS</t>
  </si>
  <si>
    <t>CHIDI ESTHER</t>
  </si>
  <si>
    <t>SEUN</t>
  </si>
  <si>
    <t>ZAY</t>
  </si>
  <si>
    <t>HALIMAT</t>
  </si>
  <si>
    <t>TOYIN KAYODE</t>
  </si>
  <si>
    <t>OLUKEMI AKINDURO</t>
  </si>
  <si>
    <t>BRIDAL DRESS</t>
  </si>
  <si>
    <t>WEDDIND DRESS</t>
  </si>
  <si>
    <t>CORSET TOP</t>
  </si>
  <si>
    <t>ASO EBI 2 PIECE</t>
  </si>
  <si>
    <t xml:space="preserve">CUSTOM </t>
  </si>
  <si>
    <t>PHILADEPHIA</t>
  </si>
  <si>
    <t>LAGOS</t>
  </si>
  <si>
    <t>ABBY</t>
  </si>
  <si>
    <t>ADAUGO</t>
  </si>
  <si>
    <t>MERCY</t>
  </si>
  <si>
    <t>PATIENCE</t>
  </si>
  <si>
    <t>RECEPTION DRESS</t>
  </si>
  <si>
    <t>PRE WEDDING OUTFIT</t>
  </si>
  <si>
    <t>WINNIE</t>
  </si>
  <si>
    <t>TOKI</t>
  </si>
  <si>
    <t>DANIELLA</t>
  </si>
  <si>
    <t>PROM DRESS</t>
  </si>
  <si>
    <t>ANKARA DRESS</t>
  </si>
  <si>
    <t xml:space="preserve">ANKARA TOP </t>
  </si>
  <si>
    <t xml:space="preserve">BRIDAL SHOWER </t>
  </si>
  <si>
    <t>BRIDAL ROBE</t>
  </si>
  <si>
    <t>Sum of PRICE</t>
  </si>
  <si>
    <t>Row Labels</t>
  </si>
  <si>
    <t>(blank)</t>
  </si>
  <si>
    <t>Grand Total</t>
  </si>
  <si>
    <t>Sum of QTY</t>
  </si>
  <si>
    <t>2025</t>
  </si>
  <si>
    <t>2026</t>
  </si>
  <si>
    <t>MONTH</t>
  </si>
  <si>
    <t>TOTAL</t>
  </si>
  <si>
    <t>&lt;3/1/2025</t>
  </si>
  <si>
    <t>DESCRIPTION</t>
  </si>
  <si>
    <t>QUANTITY</t>
  </si>
  <si>
    <t>ADVANCE</t>
  </si>
  <si>
    <t>BALANCE</t>
  </si>
  <si>
    <t>DELIVERY DETAILS</t>
  </si>
  <si>
    <t>DELIVERY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</si>
</sst>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₦-46A]#,##0.00"/>
    <numFmt numFmtId="165" formatCode="mm/dd/yy;@"/>
    <numFmt numFmtId="166" formatCode="[$₦-466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" fontId="0" fillId="0" borderId="0" xfId="0" applyNumberFormat="1"/>
    <xf numFmtId="14" fontId="0" fillId="0" borderId="0" xfId="0" applyNumberFormat="1"/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19" formatCode="m/d/yyyy"/>
    </dxf>
    <dxf>
      <numFmt numFmtId="166" formatCode="[$₦-466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₦-46A]#,##0.00"/>
    </dxf>
    <dxf>
      <numFmt numFmtId="165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420540046296" createdVersion="7" refreshedVersion="7" minRefreshableVersion="3" recordCount="138" xr:uid="{4BFB9424-7A99-4CFF-9351-FDD07A27AD54}">
  <cacheSource type="worksheet">
    <worksheetSource ref="B1:B1048576" sheet="Sheet1"/>
  </cacheSource>
  <cacheFields count="1">
    <cacheField name="COSTUMER NAME" numFmtId="0">
      <sharedItems containsBlank="1" count="64">
        <s v="GIFT "/>
        <s v="TOYIN"/>
        <s v="LASE"/>
        <s v="IBIRONKE"/>
        <s v="DARA"/>
        <s v="TEDIRI"/>
        <s v="SARAH"/>
        <s v="FOLLY BEE"/>
        <s v="MRS OLAYINKA"/>
        <s v="BUNMI"/>
        <s v="ARIYIBI"/>
        <s v="MILORLAR"/>
        <s v="LOLA"/>
        <s v="BOJ"/>
        <s v="MOFOLUWA"/>
        <s v="TREASURE"/>
        <s v="OPEMIPO"/>
        <s v="KEMI"/>
        <s v="BIG DEE"/>
        <s v="FUMBI"/>
        <s v="ORCHID"/>
        <s v="HELEN"/>
        <s v="FISAYO"/>
        <s v="MARIAM"/>
        <s v="RACHEAL"/>
        <s v="MILORLA"/>
        <s v="LOVET"/>
        <s v="NEFENTLY"/>
        <s v="SUSAN"/>
        <s v="MARY"/>
        <s v="TUNMISE"/>
        <s v="KENDAL"/>
        <s v="CHI CHI"/>
        <s v="KIMBERLY"/>
        <s v="TEMI"/>
        <s v="MUMMY DAMI"/>
        <s v="MOFOLOWA"/>
        <s v="MRS FINE"/>
        <s v="AMY"/>
        <s v="MPESA"/>
        <s v="SIERRA"/>
        <s v="MINNE"/>
        <s v="FIYIN"/>
        <s v="KAFTAL"/>
        <s v="MUMMY AYATO"/>
        <s v="SIMI"/>
        <s v="EMYSHAIRLINE"/>
        <s v="BERRY"/>
        <s v="MRS OLABUJO"/>
        <s v="DAMI AMOSUN"/>
        <s v="CHIDI ESTHER"/>
        <s v="SEUN"/>
        <s v="ZAY"/>
        <s v="HALIMAT"/>
        <s v="TOYIN KAYODE"/>
        <s v="OLUKEMI AKINDURO"/>
        <s v="ABBY"/>
        <s v="ADAUGO"/>
        <s v="MERCY"/>
        <s v="PATIENCE"/>
        <s v="WINNIE"/>
        <s v="TOKI"/>
        <s v="DANIELL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5.423262962962" createdVersion="7" refreshedVersion="7" minRefreshableVersion="3" recordCount="130" xr:uid="{F7059869-44AE-4426-A40B-48820DE8E941}">
  <cacheSource type="worksheet">
    <worksheetSource name="Table9"/>
  </cacheSource>
  <cacheFields count="13">
    <cacheField name="DATE" numFmtId="165">
      <sharedItems containsNonDate="0" containsDate="1" containsString="0" containsBlank="1" minDate="2025-05-01T00:00:00" maxDate="2026-05-05T00:00:00" count="122"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10-01T00:00:00"/>
        <d v="2025-10-02T00:00:00"/>
        <d v="2025-10-03T00:00:00"/>
        <d v="2025-11-01T00:00:00"/>
        <d v="2025-11-02T00:00:00"/>
        <d v="2025-11-03T00:00:00"/>
        <d v="2025-11-04T00:00:00"/>
        <d v="2025-11-05T00:00:00"/>
        <d v="2025-11-06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3-01T00:00:00"/>
        <d v="2026-03-02T00:00:00"/>
        <d v="2026-03-03T00:00:00"/>
        <d v="2026-03-04T00:00:00"/>
        <d v="2026-03-05T00:00:00"/>
        <d v="2026-03-06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5-01T00:00:00"/>
        <d v="2026-05-02T00:00:00"/>
        <d v="2026-05-03T00:00:00"/>
        <d v="2026-05-04T00:00:00"/>
        <m/>
      </sharedItems>
      <fieldGroup par="12" base="0">
        <rangePr groupBy="months" startDate="2025-05-01T00:00:00" endDate="2026-05-05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5/2026"/>
        </groupItems>
      </fieldGroup>
    </cacheField>
    <cacheField name="COSTUMER NAME" numFmtId="0">
      <sharedItems containsBlank="1" count="64">
        <s v="GIFT "/>
        <s v="TOYIN"/>
        <s v="LASE"/>
        <s v="IBIRONKE"/>
        <s v="DARA"/>
        <s v="TEDIRI"/>
        <s v="SARAH"/>
        <s v="FOLLY BEE"/>
        <s v="MRS OLAYINKA"/>
        <s v="BUNMI"/>
        <s v="ARIYIBI"/>
        <s v="MILORLAR"/>
        <s v="LOLA"/>
        <s v="BOJ"/>
        <s v="MOFOLUWA"/>
        <s v="TREASURE"/>
        <s v="OPEMIPO"/>
        <s v="KEMI"/>
        <s v="BIG DEE"/>
        <s v="FUMBI"/>
        <s v="ORCHID"/>
        <s v="HELEN"/>
        <s v="FISAYO"/>
        <s v="MARIAM"/>
        <s v="RACHEAL"/>
        <s v="MILORLA"/>
        <s v="LOVET"/>
        <s v="NEFENTLY"/>
        <s v="SUSAN"/>
        <s v="MARY"/>
        <s v="TUNMISE"/>
        <s v="KENDAL"/>
        <s v="CHI CHI"/>
        <s v="KIMBERLY"/>
        <s v="TEMI"/>
        <s v="MUMMY DAMI"/>
        <s v="MOFOLOWA"/>
        <s v="MRS FINE"/>
        <s v="AMY"/>
        <s v="MPESA"/>
        <s v="SIERRA"/>
        <s v="MINNE"/>
        <s v="FIYIN"/>
        <s v="KAFTAL"/>
        <s v="MUMMY AYATO"/>
        <s v="SIMI"/>
        <s v="EMYSHAIRLINE"/>
        <s v="BERRY"/>
        <s v="MRS OLABUJO"/>
        <s v="DAMI AMOSUN"/>
        <s v="CHIDI ESTHER"/>
        <s v="SEUN"/>
        <s v="ZAY"/>
        <s v="HALIMAT"/>
        <s v="TOYIN KAYODE"/>
        <s v="OLUKEMI AKINDURO"/>
        <s v="ABBY"/>
        <s v="ADAUGO"/>
        <s v="MERCY"/>
        <s v="PATIENCE"/>
        <s v="WINNIE"/>
        <s v="TOKI"/>
        <s v="DANIELLA"/>
        <m/>
      </sharedItems>
    </cacheField>
    <cacheField name="PRODUCT" numFmtId="0">
      <sharedItems containsBlank="1" count="22">
        <s v="DRESS"/>
        <s v="ASO EBI"/>
        <s v="BRIDAL SHOWER "/>
        <s v="PRE WEDDING OUTFIT"/>
        <s v="2 PIECE"/>
        <s v="SUIT SET"/>
        <s v="BRIDAL ROBE"/>
        <s v="CUSTOM"/>
        <s v="BUBU"/>
        <s v="TOP"/>
        <s v="WHITE WEDDING DRESS"/>
        <s v="CUSTOM DRESS"/>
        <s v="BRIDAL DRESS"/>
        <s v="WEDDIND DRESS"/>
        <s v="CORSET TOP"/>
        <s v="ASO EBI 2 PIECE"/>
        <s v="CUSTOM "/>
        <s v="RECEPTION DRESS"/>
        <s v="PROM DRESS"/>
        <s v="ANKARA DRESS"/>
        <s v="ANKARA TOP "/>
        <m/>
      </sharedItems>
    </cacheField>
    <cacheField name="QTY" numFmtId="0">
      <sharedItems containsString="0" containsBlank="1" containsNumber="1" containsInteger="1" minValue="1" maxValue="11"/>
    </cacheField>
    <cacheField name="PRICE" numFmtId="164">
      <sharedItems containsString="0" containsBlank="1" containsNumber="1" containsInteger="1" minValue="0" maxValue="575000"/>
    </cacheField>
    <cacheField name=" LOCATION" numFmtId="0">
      <sharedItems containsBlank="1" count="9">
        <s v="CANADA"/>
        <s v="WORKSHOP"/>
        <s v="USA"/>
        <s v="UK"/>
        <s v="TEXAS"/>
        <s v="GERMANY"/>
        <s v="PHILADEPHIA"/>
        <s v="LAGOS"/>
        <m/>
      </sharedItems>
    </cacheField>
    <cacheField name="PAYMENT STATUS" numFmtId="0">
      <sharedItems containsBlank="1" count="2">
        <s v="PAID"/>
        <m/>
      </sharedItems>
    </cacheField>
    <cacheField name="MONTH" numFmtId="0">
      <sharedItems containsNonDate="0" containsDate="1" containsString="0" containsBlank="1" minDate="2025-03-01T00:00:00" maxDate="2026-05-31T00:00:00" count="14">
        <m/>
        <d v="2025-05-30T00:00:00"/>
        <d v="2025-06-30T00:00:00"/>
        <d v="2025-07-30T00:00:00"/>
        <d v="2025-08-30T00:00:00"/>
        <d v="2025-09-30T00:00:00"/>
        <d v="2025-10-30T00:00:00"/>
        <d v="2025-11-30T00:00:00"/>
        <d v="2025-12-30T00:00:00"/>
        <d v="2026-01-30T00:00:00"/>
        <d v="2026-02-27T00:00:00"/>
        <d v="2025-03-01T00:00:00"/>
        <d v="2026-04-30T00:00:00"/>
        <d v="2026-05-30T00:00:00"/>
      </sharedItems>
      <fieldGroup par="10" base="7">
        <rangePr groupBy="months" startDate="2025-03-01T00:00:00" endDate="2026-05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6"/>
        </groupItems>
      </fieldGroup>
    </cacheField>
    <cacheField name="TOTAL" numFmtId="0">
      <sharedItems containsDate="1" containsString="0" containsBlank="1" containsMixedTypes="1" minDate="1900-01-03T07:35:05" maxDate="1900-01-02T09:52:05" count="15">
        <m/>
        <n v="2317000"/>
        <n v="2335000"/>
        <n v="1165000"/>
        <n v="1780000"/>
        <n v="1185000"/>
        <n v="610000"/>
        <n v="885000"/>
        <n v="930000"/>
        <n v="2789000"/>
        <d v="2026-01-30T00:00:00"/>
        <n v="1225000"/>
        <n v="1260000"/>
        <n v="1095000"/>
        <n v="600000"/>
      </sharedItems>
    </cacheField>
    <cacheField name="Quarters" numFmtId="0" databaseField="0">
      <fieldGroup base="7">
        <rangePr groupBy="quarters" startDate="2025-03-01T00:00:00" endDate="2026-05-31T00:00:00"/>
        <groupItems count="6">
          <s v="&lt;3/1/2025"/>
          <s v="Qtr1"/>
          <s v="Qtr2"/>
          <s v="Qtr3"/>
          <s v="Qtr4"/>
          <s v="&gt;5/31/2026"/>
        </groupItems>
      </fieldGroup>
    </cacheField>
    <cacheField name="Years" numFmtId="0" databaseField="0">
      <fieldGroup base="7">
        <rangePr groupBy="years" startDate="2025-03-01T00:00:00" endDate="2026-05-31T00:00:00"/>
        <groupItems count="4">
          <s v="&lt;3/1/2025"/>
          <s v="2025"/>
          <s v="2026"/>
          <s v="&gt;5/31/2026"/>
        </groupItems>
      </fieldGroup>
    </cacheField>
    <cacheField name="Quarters2" numFmtId="0" databaseField="0">
      <fieldGroup base="0">
        <rangePr groupBy="quarters" startDate="2025-05-01T00:00:00" endDate="2026-05-05T00:00:00"/>
        <groupItems count="6">
          <s v="&lt;5/1/2025"/>
          <s v="Qtr1"/>
          <s v="Qtr2"/>
          <s v="Qtr3"/>
          <s v="Qtr4"/>
          <s v="&gt;5/5/2026"/>
        </groupItems>
      </fieldGroup>
    </cacheField>
    <cacheField name="Years2" numFmtId="0" databaseField="0">
      <fieldGroup base="0">
        <rangePr groupBy="years" startDate="2025-05-01T00:00:00" endDate="2026-05-05T00:00:00"/>
        <groupItems count="4">
          <s v="&lt;5/1/2025"/>
          <s v="2025"/>
          <s v="2026"/>
          <s v="&gt;5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</r>
  <r>
    <x v="1"/>
  </r>
  <r>
    <x v="2"/>
  </r>
  <r>
    <x v="2"/>
  </r>
  <r>
    <x v="3"/>
  </r>
  <r>
    <x v="4"/>
  </r>
  <r>
    <x v="5"/>
  </r>
  <r>
    <x v="5"/>
  </r>
  <r>
    <x v="5"/>
  </r>
  <r>
    <x v="6"/>
  </r>
  <r>
    <x v="6"/>
  </r>
  <r>
    <x v="6"/>
  </r>
  <r>
    <x v="7"/>
  </r>
  <r>
    <x v="8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7"/>
  </r>
  <r>
    <x v="7"/>
  </r>
  <r>
    <x v="4"/>
  </r>
  <r>
    <x v="18"/>
  </r>
  <r>
    <x v="18"/>
  </r>
  <r>
    <x v="9"/>
  </r>
  <r>
    <x v="9"/>
  </r>
  <r>
    <x v="19"/>
  </r>
  <r>
    <x v="15"/>
  </r>
  <r>
    <x v="20"/>
  </r>
  <r>
    <x v="21"/>
  </r>
  <r>
    <x v="22"/>
  </r>
  <r>
    <x v="23"/>
  </r>
  <r>
    <x v="15"/>
  </r>
  <r>
    <x v="24"/>
  </r>
  <r>
    <x v="17"/>
  </r>
  <r>
    <x v="12"/>
  </r>
  <r>
    <x v="12"/>
  </r>
  <r>
    <x v="25"/>
  </r>
  <r>
    <x v="26"/>
  </r>
  <r>
    <x v="20"/>
  </r>
  <r>
    <x v="25"/>
  </r>
  <r>
    <x v="25"/>
  </r>
  <r>
    <x v="27"/>
  </r>
  <r>
    <x v="28"/>
  </r>
  <r>
    <x v="29"/>
  </r>
  <r>
    <x v="3"/>
  </r>
  <r>
    <x v="30"/>
  </r>
  <r>
    <x v="31"/>
  </r>
  <r>
    <x v="32"/>
  </r>
  <r>
    <x v="33"/>
  </r>
  <r>
    <x v="25"/>
  </r>
  <r>
    <x v="25"/>
  </r>
  <r>
    <x v="34"/>
  </r>
  <r>
    <x v="35"/>
  </r>
  <r>
    <x v="36"/>
  </r>
  <r>
    <x v="9"/>
  </r>
  <r>
    <x v="30"/>
  </r>
  <r>
    <x v="37"/>
  </r>
  <r>
    <x v="38"/>
  </r>
  <r>
    <x v="22"/>
  </r>
  <r>
    <x v="39"/>
  </r>
  <r>
    <x v="40"/>
  </r>
  <r>
    <x v="40"/>
  </r>
  <r>
    <x v="40"/>
  </r>
  <r>
    <x v="25"/>
  </r>
  <r>
    <x v="41"/>
  </r>
  <r>
    <x v="12"/>
  </r>
  <r>
    <x v="37"/>
  </r>
  <r>
    <x v="37"/>
  </r>
  <r>
    <x v="37"/>
  </r>
  <r>
    <x v="42"/>
  </r>
  <r>
    <x v="30"/>
  </r>
  <r>
    <x v="43"/>
  </r>
  <r>
    <x v="43"/>
  </r>
  <r>
    <x v="44"/>
  </r>
  <r>
    <x v="45"/>
  </r>
  <r>
    <x v="4"/>
  </r>
  <r>
    <x v="29"/>
  </r>
  <r>
    <x v="46"/>
  </r>
  <r>
    <x v="47"/>
  </r>
  <r>
    <x v="32"/>
  </r>
  <r>
    <x v="48"/>
  </r>
  <r>
    <x v="49"/>
  </r>
  <r>
    <x v="16"/>
  </r>
  <r>
    <x v="50"/>
  </r>
  <r>
    <x v="51"/>
  </r>
  <r>
    <x v="28"/>
  </r>
  <r>
    <x v="9"/>
  </r>
  <r>
    <x v="3"/>
  </r>
  <r>
    <x v="37"/>
  </r>
  <r>
    <x v="52"/>
  </r>
  <r>
    <x v="52"/>
  </r>
  <r>
    <x v="30"/>
  </r>
  <r>
    <x v="14"/>
  </r>
  <r>
    <x v="53"/>
  </r>
  <r>
    <x v="5"/>
  </r>
  <r>
    <x v="54"/>
  </r>
  <r>
    <x v="42"/>
  </r>
  <r>
    <x v="55"/>
  </r>
  <r>
    <x v="55"/>
  </r>
  <r>
    <x v="4"/>
  </r>
  <r>
    <x v="48"/>
  </r>
  <r>
    <x v="9"/>
  </r>
  <r>
    <x v="53"/>
  </r>
  <r>
    <x v="3"/>
  </r>
  <r>
    <x v="54"/>
  </r>
  <r>
    <x v="56"/>
  </r>
  <r>
    <x v="57"/>
  </r>
  <r>
    <x v="14"/>
  </r>
  <r>
    <x v="52"/>
  </r>
  <r>
    <x v="3"/>
  </r>
  <r>
    <x v="58"/>
  </r>
  <r>
    <x v="4"/>
  </r>
  <r>
    <x v="56"/>
  </r>
  <r>
    <x v="59"/>
  </r>
  <r>
    <x v="59"/>
  </r>
  <r>
    <x v="60"/>
  </r>
  <r>
    <x v="61"/>
  </r>
  <r>
    <x v="62"/>
  </r>
  <r>
    <x v="62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n v="2"/>
    <n v="115000"/>
    <x v="0"/>
    <x v="0"/>
    <x v="0"/>
    <x v="0"/>
  </r>
  <r>
    <x v="0"/>
    <x v="1"/>
    <x v="1"/>
    <n v="1"/>
    <n v="65000"/>
    <x v="1"/>
    <x v="0"/>
    <x v="0"/>
    <x v="0"/>
  </r>
  <r>
    <x v="0"/>
    <x v="2"/>
    <x v="2"/>
    <n v="1"/>
    <n v="100000"/>
    <x v="1"/>
    <x v="0"/>
    <x v="0"/>
    <x v="0"/>
  </r>
  <r>
    <x v="0"/>
    <x v="2"/>
    <x v="3"/>
    <n v="1"/>
    <n v="125000"/>
    <x v="1"/>
    <x v="0"/>
    <x v="0"/>
    <x v="0"/>
  </r>
  <r>
    <x v="1"/>
    <x v="3"/>
    <x v="0"/>
    <n v="1"/>
    <n v="65000"/>
    <x v="0"/>
    <x v="0"/>
    <x v="0"/>
    <x v="0"/>
  </r>
  <r>
    <x v="2"/>
    <x v="4"/>
    <x v="0"/>
    <n v="1"/>
    <n v="45000"/>
    <x v="1"/>
    <x v="0"/>
    <x v="0"/>
    <x v="0"/>
  </r>
  <r>
    <x v="3"/>
    <x v="5"/>
    <x v="0"/>
    <n v="2"/>
    <n v="30000"/>
    <x v="2"/>
    <x v="0"/>
    <x v="0"/>
    <x v="0"/>
  </r>
  <r>
    <x v="4"/>
    <x v="5"/>
    <x v="1"/>
    <n v="2"/>
    <n v="30000"/>
    <x v="2"/>
    <x v="0"/>
    <x v="0"/>
    <x v="0"/>
  </r>
  <r>
    <x v="5"/>
    <x v="5"/>
    <x v="4"/>
    <n v="2"/>
    <n v="110000"/>
    <x v="2"/>
    <x v="0"/>
    <x v="0"/>
    <x v="0"/>
  </r>
  <r>
    <x v="6"/>
    <x v="6"/>
    <x v="0"/>
    <n v="2"/>
    <n v="215000"/>
    <x v="0"/>
    <x v="0"/>
    <x v="1"/>
    <x v="1"/>
  </r>
  <r>
    <x v="7"/>
    <x v="6"/>
    <x v="5"/>
    <n v="1"/>
    <n v="90000"/>
    <x v="0"/>
    <x v="0"/>
    <x v="0"/>
    <x v="0"/>
  </r>
  <r>
    <x v="8"/>
    <x v="6"/>
    <x v="4"/>
    <n v="1"/>
    <n v="80000"/>
    <x v="0"/>
    <x v="0"/>
    <x v="0"/>
    <x v="0"/>
  </r>
  <r>
    <x v="9"/>
    <x v="7"/>
    <x v="1"/>
    <n v="2"/>
    <n v="250000"/>
    <x v="3"/>
    <x v="0"/>
    <x v="0"/>
    <x v="0"/>
  </r>
  <r>
    <x v="10"/>
    <x v="8"/>
    <x v="6"/>
    <n v="1"/>
    <n v="135000"/>
    <x v="1"/>
    <x v="0"/>
    <x v="0"/>
    <x v="0"/>
  </r>
  <r>
    <x v="10"/>
    <x v="8"/>
    <x v="0"/>
    <n v="1"/>
    <n v="140000"/>
    <x v="1"/>
    <x v="0"/>
    <x v="0"/>
    <x v="0"/>
  </r>
  <r>
    <x v="11"/>
    <x v="9"/>
    <x v="0"/>
    <n v="3"/>
    <n v="144000"/>
    <x v="2"/>
    <x v="0"/>
    <x v="0"/>
    <x v="0"/>
  </r>
  <r>
    <x v="12"/>
    <x v="10"/>
    <x v="5"/>
    <n v="1"/>
    <n v="80000"/>
    <x v="0"/>
    <x v="0"/>
    <x v="0"/>
    <x v="0"/>
  </r>
  <r>
    <x v="13"/>
    <x v="11"/>
    <x v="1"/>
    <n v="3"/>
    <n v="165000"/>
    <x v="3"/>
    <x v="0"/>
    <x v="0"/>
    <x v="0"/>
  </r>
  <r>
    <x v="14"/>
    <x v="12"/>
    <x v="1"/>
    <n v="1"/>
    <n v="180000"/>
    <x v="3"/>
    <x v="0"/>
    <x v="0"/>
    <x v="0"/>
  </r>
  <r>
    <x v="15"/>
    <x v="13"/>
    <x v="1"/>
    <n v="2"/>
    <n v="83000"/>
    <x v="1"/>
    <x v="0"/>
    <x v="0"/>
    <x v="0"/>
  </r>
  <r>
    <x v="16"/>
    <x v="14"/>
    <x v="0"/>
    <n v="1"/>
    <n v="70000"/>
    <x v="1"/>
    <x v="0"/>
    <x v="0"/>
    <x v="0"/>
  </r>
  <r>
    <x v="17"/>
    <x v="15"/>
    <x v="1"/>
    <n v="1"/>
    <n v="170000"/>
    <x v="3"/>
    <x v="0"/>
    <x v="0"/>
    <x v="0"/>
  </r>
  <r>
    <x v="18"/>
    <x v="16"/>
    <x v="1"/>
    <n v="1"/>
    <n v="100000"/>
    <x v="1"/>
    <x v="0"/>
    <x v="0"/>
    <x v="0"/>
  </r>
  <r>
    <x v="19"/>
    <x v="17"/>
    <x v="1"/>
    <n v="1"/>
    <n v="100000"/>
    <x v="2"/>
    <x v="0"/>
    <x v="0"/>
    <x v="0"/>
  </r>
  <r>
    <x v="20"/>
    <x v="7"/>
    <x v="1"/>
    <n v="1"/>
    <n v="100000"/>
    <x v="2"/>
    <x v="0"/>
    <x v="0"/>
    <x v="0"/>
  </r>
  <r>
    <x v="21"/>
    <x v="7"/>
    <x v="7"/>
    <n v="1"/>
    <n v="108000"/>
    <x v="3"/>
    <x v="0"/>
    <x v="0"/>
    <x v="0"/>
  </r>
  <r>
    <x v="22"/>
    <x v="4"/>
    <x v="0"/>
    <n v="1"/>
    <n v="75000"/>
    <x v="1"/>
    <x v="0"/>
    <x v="0"/>
    <x v="0"/>
  </r>
  <r>
    <x v="23"/>
    <x v="18"/>
    <x v="1"/>
    <n v="1"/>
    <n v="120000"/>
    <x v="2"/>
    <x v="0"/>
    <x v="2"/>
    <x v="2"/>
  </r>
  <r>
    <x v="24"/>
    <x v="18"/>
    <x v="1"/>
    <n v="1"/>
    <n v="125000"/>
    <x v="2"/>
    <x v="0"/>
    <x v="0"/>
    <x v="0"/>
  </r>
  <r>
    <x v="25"/>
    <x v="9"/>
    <x v="4"/>
    <n v="1"/>
    <n v="70000"/>
    <x v="2"/>
    <x v="0"/>
    <x v="0"/>
    <x v="0"/>
  </r>
  <r>
    <x v="26"/>
    <x v="9"/>
    <x v="1"/>
    <n v="2"/>
    <n v="157000"/>
    <x v="2"/>
    <x v="0"/>
    <x v="0"/>
    <x v="0"/>
  </r>
  <r>
    <x v="27"/>
    <x v="19"/>
    <x v="1"/>
    <n v="2"/>
    <n v="165000"/>
    <x v="4"/>
    <x v="0"/>
    <x v="0"/>
    <x v="0"/>
  </r>
  <r>
    <x v="28"/>
    <x v="15"/>
    <x v="1"/>
    <n v="1"/>
    <n v="95000"/>
    <x v="3"/>
    <x v="0"/>
    <x v="0"/>
    <x v="0"/>
  </r>
  <r>
    <x v="29"/>
    <x v="20"/>
    <x v="7"/>
    <n v="1"/>
    <n v="110000"/>
    <x v="1"/>
    <x v="0"/>
    <x v="0"/>
    <x v="0"/>
  </r>
  <r>
    <x v="30"/>
    <x v="21"/>
    <x v="1"/>
    <n v="1"/>
    <n v="230000"/>
    <x v="4"/>
    <x v="0"/>
    <x v="0"/>
    <x v="0"/>
  </r>
  <r>
    <x v="31"/>
    <x v="22"/>
    <x v="1"/>
    <n v="1"/>
    <n v="120000"/>
    <x v="4"/>
    <x v="0"/>
    <x v="0"/>
    <x v="0"/>
  </r>
  <r>
    <x v="32"/>
    <x v="23"/>
    <x v="7"/>
    <n v="1"/>
    <n v="80000"/>
    <x v="3"/>
    <x v="0"/>
    <x v="0"/>
    <x v="0"/>
  </r>
  <r>
    <x v="33"/>
    <x v="15"/>
    <x v="1"/>
    <n v="1"/>
    <n v="160000"/>
    <x v="3"/>
    <x v="0"/>
    <x v="0"/>
    <x v="0"/>
  </r>
  <r>
    <x v="34"/>
    <x v="24"/>
    <x v="1"/>
    <n v="1"/>
    <n v="250000"/>
    <x v="4"/>
    <x v="0"/>
    <x v="0"/>
    <x v="0"/>
  </r>
  <r>
    <x v="35"/>
    <x v="17"/>
    <x v="1"/>
    <n v="1"/>
    <n v="135000"/>
    <x v="2"/>
    <x v="0"/>
    <x v="0"/>
    <x v="0"/>
  </r>
  <r>
    <x v="36"/>
    <x v="12"/>
    <x v="4"/>
    <n v="1"/>
    <n v="135000"/>
    <x v="3"/>
    <x v="0"/>
    <x v="3"/>
    <x v="3"/>
  </r>
  <r>
    <x v="37"/>
    <x v="12"/>
    <x v="1"/>
    <n v="1"/>
    <n v="100000"/>
    <x v="3"/>
    <x v="0"/>
    <x v="0"/>
    <x v="0"/>
  </r>
  <r>
    <x v="38"/>
    <x v="25"/>
    <x v="0"/>
    <n v="3"/>
    <n v="225000"/>
    <x v="3"/>
    <x v="0"/>
    <x v="0"/>
    <x v="0"/>
  </r>
  <r>
    <x v="39"/>
    <x v="26"/>
    <x v="0"/>
    <n v="1"/>
    <n v="70000"/>
    <x v="3"/>
    <x v="0"/>
    <x v="0"/>
    <x v="0"/>
  </r>
  <r>
    <x v="40"/>
    <x v="20"/>
    <x v="7"/>
    <n v="1"/>
    <n v="220000"/>
    <x v="1"/>
    <x v="0"/>
    <x v="0"/>
    <x v="0"/>
  </r>
  <r>
    <x v="41"/>
    <x v="25"/>
    <x v="1"/>
    <n v="1"/>
    <n v="130000"/>
    <x v="3"/>
    <x v="0"/>
    <x v="0"/>
    <x v="0"/>
  </r>
  <r>
    <x v="42"/>
    <x v="25"/>
    <x v="0"/>
    <n v="3"/>
    <n v="150000"/>
    <x v="3"/>
    <x v="0"/>
    <x v="0"/>
    <x v="0"/>
  </r>
  <r>
    <x v="43"/>
    <x v="27"/>
    <x v="1"/>
    <n v="1"/>
    <n v="240000"/>
    <x v="4"/>
    <x v="0"/>
    <x v="0"/>
    <x v="0"/>
  </r>
  <r>
    <x v="44"/>
    <x v="28"/>
    <x v="0"/>
    <n v="2"/>
    <n v="80000"/>
    <x v="0"/>
    <x v="0"/>
    <x v="0"/>
    <x v="0"/>
  </r>
  <r>
    <x v="45"/>
    <x v="29"/>
    <x v="1"/>
    <n v="1"/>
    <n v="60000"/>
    <x v="1"/>
    <x v="0"/>
    <x v="0"/>
    <x v="0"/>
  </r>
  <r>
    <x v="46"/>
    <x v="3"/>
    <x v="0"/>
    <n v="3"/>
    <n v="135000"/>
    <x v="0"/>
    <x v="0"/>
    <x v="4"/>
    <x v="4"/>
  </r>
  <r>
    <x v="47"/>
    <x v="30"/>
    <x v="1"/>
    <n v="1"/>
    <n v="100000"/>
    <x v="1"/>
    <x v="0"/>
    <x v="0"/>
    <x v="0"/>
  </r>
  <r>
    <x v="48"/>
    <x v="31"/>
    <x v="1"/>
    <n v="1"/>
    <n v="270000"/>
    <x v="4"/>
    <x v="0"/>
    <x v="0"/>
    <x v="0"/>
  </r>
  <r>
    <x v="49"/>
    <x v="32"/>
    <x v="1"/>
    <n v="1"/>
    <n v="295000"/>
    <x v="4"/>
    <x v="0"/>
    <x v="0"/>
    <x v="0"/>
  </r>
  <r>
    <x v="50"/>
    <x v="33"/>
    <x v="1"/>
    <n v="1"/>
    <n v="315000"/>
    <x v="4"/>
    <x v="0"/>
    <x v="0"/>
    <x v="0"/>
  </r>
  <r>
    <x v="51"/>
    <x v="25"/>
    <x v="7"/>
    <n v="3"/>
    <n v="135000"/>
    <x v="3"/>
    <x v="0"/>
    <x v="0"/>
    <x v="0"/>
  </r>
  <r>
    <x v="52"/>
    <x v="25"/>
    <x v="0"/>
    <n v="1"/>
    <n v="150000"/>
    <x v="3"/>
    <x v="0"/>
    <x v="0"/>
    <x v="0"/>
  </r>
  <r>
    <x v="53"/>
    <x v="34"/>
    <x v="1"/>
    <n v="1"/>
    <n v="265000"/>
    <x v="4"/>
    <x v="0"/>
    <x v="0"/>
    <x v="0"/>
  </r>
  <r>
    <x v="54"/>
    <x v="35"/>
    <x v="0"/>
    <n v="1"/>
    <n v="15000"/>
    <x v="1"/>
    <x v="0"/>
    <x v="0"/>
    <x v="0"/>
  </r>
  <r>
    <x v="55"/>
    <x v="36"/>
    <x v="4"/>
    <n v="1"/>
    <n v="45000"/>
    <x v="1"/>
    <x v="0"/>
    <x v="0"/>
    <x v="0"/>
  </r>
  <r>
    <x v="56"/>
    <x v="9"/>
    <x v="0"/>
    <n v="1"/>
    <n v="75000"/>
    <x v="2"/>
    <x v="0"/>
    <x v="0"/>
    <x v="0"/>
  </r>
  <r>
    <x v="57"/>
    <x v="30"/>
    <x v="0"/>
    <n v="1"/>
    <n v="30000"/>
    <x v="1"/>
    <x v="0"/>
    <x v="0"/>
    <x v="0"/>
  </r>
  <r>
    <x v="58"/>
    <x v="37"/>
    <x v="0"/>
    <n v="1"/>
    <n v="110000"/>
    <x v="4"/>
    <x v="0"/>
    <x v="0"/>
    <x v="0"/>
  </r>
  <r>
    <x v="59"/>
    <x v="38"/>
    <x v="0"/>
    <n v="1"/>
    <n v="55000"/>
    <x v="5"/>
    <x v="0"/>
    <x v="0"/>
    <x v="0"/>
  </r>
  <r>
    <x v="60"/>
    <x v="22"/>
    <x v="0"/>
    <n v="1"/>
    <n v="80000"/>
    <x v="4"/>
    <x v="0"/>
    <x v="5"/>
    <x v="5"/>
  </r>
  <r>
    <x v="61"/>
    <x v="39"/>
    <x v="1"/>
    <n v="1"/>
    <n v="60000"/>
    <x v="4"/>
    <x v="0"/>
    <x v="0"/>
    <x v="0"/>
  </r>
  <r>
    <x v="62"/>
    <x v="40"/>
    <x v="0"/>
    <n v="3"/>
    <n v="150000"/>
    <x v="2"/>
    <x v="0"/>
    <x v="0"/>
    <x v="0"/>
  </r>
  <r>
    <x v="63"/>
    <x v="40"/>
    <x v="4"/>
    <n v="1"/>
    <n v="30000"/>
    <x v="2"/>
    <x v="0"/>
    <x v="0"/>
    <x v="0"/>
  </r>
  <r>
    <x v="64"/>
    <x v="40"/>
    <x v="5"/>
    <n v="1"/>
    <n v="90000"/>
    <x v="2"/>
    <x v="0"/>
    <x v="0"/>
    <x v="0"/>
  </r>
  <r>
    <x v="65"/>
    <x v="25"/>
    <x v="0"/>
    <n v="1"/>
    <n v="90000"/>
    <x v="3"/>
    <x v="0"/>
    <x v="0"/>
    <x v="0"/>
  </r>
  <r>
    <x v="66"/>
    <x v="41"/>
    <x v="8"/>
    <n v="1"/>
    <n v="50000"/>
    <x v="1"/>
    <x v="0"/>
    <x v="0"/>
    <x v="0"/>
  </r>
  <r>
    <x v="67"/>
    <x v="12"/>
    <x v="0"/>
    <n v="1"/>
    <n v="40000"/>
    <x v="3"/>
    <x v="0"/>
    <x v="0"/>
    <x v="0"/>
  </r>
  <r>
    <x v="68"/>
    <x v="37"/>
    <x v="1"/>
    <n v="2"/>
    <n v="210000"/>
    <x v="4"/>
    <x v="0"/>
    <x v="0"/>
    <x v="0"/>
  </r>
  <r>
    <x v="69"/>
    <x v="37"/>
    <x v="9"/>
    <n v="4"/>
    <n v="100000"/>
    <x v="4"/>
    <x v="0"/>
    <x v="6"/>
    <x v="6"/>
  </r>
  <r>
    <x v="70"/>
    <x v="37"/>
    <x v="0"/>
    <n v="3"/>
    <n v="300000"/>
    <x v="4"/>
    <x v="0"/>
    <x v="0"/>
    <x v="0"/>
  </r>
  <r>
    <x v="71"/>
    <x v="42"/>
    <x v="1"/>
    <n v="1"/>
    <n v="90000"/>
    <x v="1"/>
    <x v="0"/>
    <x v="0"/>
    <x v="0"/>
  </r>
  <r>
    <x v="72"/>
    <x v="30"/>
    <x v="1"/>
    <n v="2"/>
    <n v="230000"/>
    <x v="1"/>
    <x v="0"/>
    <x v="0"/>
    <x v="0"/>
  </r>
  <r>
    <x v="73"/>
    <x v="43"/>
    <x v="10"/>
    <n v="1"/>
    <n v="170000"/>
    <x v="1"/>
    <x v="0"/>
    <x v="7"/>
    <x v="7"/>
  </r>
  <r>
    <x v="74"/>
    <x v="43"/>
    <x v="1"/>
    <n v="1"/>
    <n v="200000"/>
    <x v="1"/>
    <x v="0"/>
    <x v="0"/>
    <x v="0"/>
  </r>
  <r>
    <x v="75"/>
    <x v="44"/>
    <x v="1"/>
    <n v="2"/>
    <n v="150000"/>
    <x v="1"/>
    <x v="0"/>
    <x v="0"/>
    <x v="0"/>
  </r>
  <r>
    <x v="76"/>
    <x v="45"/>
    <x v="0"/>
    <n v="1"/>
    <n v="45000"/>
    <x v="1"/>
    <x v="0"/>
    <x v="0"/>
    <x v="0"/>
  </r>
  <r>
    <x v="77"/>
    <x v="4"/>
    <x v="1"/>
    <n v="1"/>
    <n v="90000"/>
    <x v="1"/>
    <x v="0"/>
    <x v="0"/>
    <x v="0"/>
  </r>
  <r>
    <x v="78"/>
    <x v="29"/>
    <x v="0"/>
    <n v="1"/>
    <n v="180000"/>
    <x v="1"/>
    <x v="0"/>
    <x v="0"/>
    <x v="0"/>
  </r>
  <r>
    <x v="79"/>
    <x v="46"/>
    <x v="7"/>
    <n v="1"/>
    <n v="180000"/>
    <x v="1"/>
    <x v="0"/>
    <x v="0"/>
    <x v="0"/>
  </r>
  <r>
    <x v="80"/>
    <x v="47"/>
    <x v="1"/>
    <n v="1"/>
    <n v="110000"/>
    <x v="1"/>
    <x v="0"/>
    <x v="8"/>
    <x v="8"/>
  </r>
  <r>
    <x v="81"/>
    <x v="32"/>
    <x v="11"/>
    <n v="1"/>
    <n v="120000"/>
    <x v="4"/>
    <x v="0"/>
    <x v="0"/>
    <x v="0"/>
  </r>
  <r>
    <x v="82"/>
    <x v="48"/>
    <x v="0"/>
    <n v="1"/>
    <n v="55000"/>
    <x v="0"/>
    <x v="0"/>
    <x v="0"/>
    <x v="0"/>
  </r>
  <r>
    <x v="83"/>
    <x v="49"/>
    <x v="1"/>
    <n v="1"/>
    <n v="135000"/>
    <x v="2"/>
    <x v="0"/>
    <x v="0"/>
    <x v="0"/>
  </r>
  <r>
    <x v="84"/>
    <x v="16"/>
    <x v="0"/>
    <n v="1"/>
    <n v="60000"/>
    <x v="1"/>
    <x v="0"/>
    <x v="0"/>
    <x v="0"/>
  </r>
  <r>
    <x v="85"/>
    <x v="50"/>
    <x v="1"/>
    <n v="1"/>
    <n v="200000"/>
    <x v="6"/>
    <x v="0"/>
    <x v="0"/>
    <x v="0"/>
  </r>
  <r>
    <x v="86"/>
    <x v="51"/>
    <x v="0"/>
    <n v="3"/>
    <n v="150000"/>
    <x v="3"/>
    <x v="0"/>
    <x v="0"/>
    <x v="0"/>
  </r>
  <r>
    <x v="87"/>
    <x v="28"/>
    <x v="0"/>
    <n v="2"/>
    <n v="50000"/>
    <x v="0"/>
    <x v="0"/>
    <x v="0"/>
    <x v="0"/>
  </r>
  <r>
    <x v="88"/>
    <x v="9"/>
    <x v="0"/>
    <n v="8"/>
    <n v="447000"/>
    <x v="2"/>
    <x v="0"/>
    <x v="0"/>
    <x v="0"/>
  </r>
  <r>
    <x v="89"/>
    <x v="3"/>
    <x v="0"/>
    <n v="10"/>
    <n v="410000"/>
    <x v="0"/>
    <x v="0"/>
    <x v="0"/>
    <x v="0"/>
  </r>
  <r>
    <x v="90"/>
    <x v="37"/>
    <x v="0"/>
    <n v="9"/>
    <n v="498000"/>
    <x v="4"/>
    <x v="0"/>
    <x v="9"/>
    <x v="9"/>
  </r>
  <r>
    <x v="91"/>
    <x v="52"/>
    <x v="12"/>
    <n v="6"/>
    <n v="520000"/>
    <x v="1"/>
    <x v="0"/>
    <x v="0"/>
    <x v="0"/>
  </r>
  <r>
    <x v="92"/>
    <x v="52"/>
    <x v="12"/>
    <n v="2"/>
    <n v="0"/>
    <x v="1"/>
    <x v="0"/>
    <x v="0"/>
    <x v="0"/>
  </r>
  <r>
    <x v="93"/>
    <x v="30"/>
    <x v="11"/>
    <n v="1"/>
    <n v="114000"/>
    <x v="7"/>
    <x v="0"/>
    <x v="0"/>
    <x v="0"/>
  </r>
  <r>
    <x v="94"/>
    <x v="14"/>
    <x v="11"/>
    <n v="1"/>
    <n v="190000"/>
    <x v="7"/>
    <x v="0"/>
    <x v="0"/>
    <x v="0"/>
  </r>
  <r>
    <x v="95"/>
    <x v="53"/>
    <x v="13"/>
    <n v="1"/>
    <n v="210000"/>
    <x v="7"/>
    <x v="0"/>
    <x v="0"/>
    <x v="10"/>
  </r>
  <r>
    <x v="96"/>
    <x v="5"/>
    <x v="4"/>
    <n v="2"/>
    <n v="30000"/>
    <x v="4"/>
    <x v="0"/>
    <x v="0"/>
    <x v="0"/>
  </r>
  <r>
    <x v="97"/>
    <x v="54"/>
    <x v="1"/>
    <n v="2"/>
    <n v="130000"/>
    <x v="2"/>
    <x v="0"/>
    <x v="0"/>
    <x v="0"/>
  </r>
  <r>
    <x v="98"/>
    <x v="42"/>
    <x v="14"/>
    <n v="1"/>
    <n v="40000"/>
    <x v="7"/>
    <x v="0"/>
    <x v="0"/>
    <x v="0"/>
  </r>
  <r>
    <x v="99"/>
    <x v="55"/>
    <x v="15"/>
    <n v="1"/>
    <n v="350000"/>
    <x v="7"/>
    <x v="0"/>
    <x v="10"/>
    <x v="11"/>
  </r>
  <r>
    <x v="100"/>
    <x v="55"/>
    <x v="16"/>
    <n v="1"/>
    <n v="500000"/>
    <x v="1"/>
    <x v="0"/>
    <x v="0"/>
    <x v="0"/>
  </r>
  <r>
    <x v="101"/>
    <x v="4"/>
    <x v="5"/>
    <n v="1"/>
    <n v="95000"/>
    <x v="1"/>
    <x v="0"/>
    <x v="0"/>
    <x v="0"/>
  </r>
  <r>
    <x v="102"/>
    <x v="48"/>
    <x v="0"/>
    <n v="1"/>
    <n v="80000"/>
    <x v="0"/>
    <x v="0"/>
    <x v="0"/>
    <x v="0"/>
  </r>
  <r>
    <x v="103"/>
    <x v="9"/>
    <x v="1"/>
    <n v="11"/>
    <n v="575000"/>
    <x v="2"/>
    <x v="0"/>
    <x v="0"/>
    <x v="0"/>
  </r>
  <r>
    <x v="104"/>
    <x v="53"/>
    <x v="17"/>
    <n v="1"/>
    <n v="285000"/>
    <x v="7"/>
    <x v="0"/>
    <x v="0"/>
    <x v="0"/>
  </r>
  <r>
    <x v="105"/>
    <x v="3"/>
    <x v="0"/>
    <n v="2"/>
    <n v="130000"/>
    <x v="0"/>
    <x v="0"/>
    <x v="0"/>
    <x v="0"/>
  </r>
  <r>
    <x v="106"/>
    <x v="54"/>
    <x v="1"/>
    <n v="1"/>
    <n v="95000"/>
    <x v="2"/>
    <x v="0"/>
    <x v="11"/>
    <x v="12"/>
  </r>
  <r>
    <x v="107"/>
    <x v="56"/>
    <x v="4"/>
    <n v="3"/>
    <n v="80000"/>
    <x v="0"/>
    <x v="0"/>
    <x v="0"/>
    <x v="0"/>
  </r>
  <r>
    <x v="108"/>
    <x v="57"/>
    <x v="0"/>
    <n v="1"/>
    <n v="95000"/>
    <x v="0"/>
    <x v="0"/>
    <x v="0"/>
    <x v="0"/>
  </r>
  <r>
    <x v="109"/>
    <x v="14"/>
    <x v="0"/>
    <n v="1"/>
    <n v="50000"/>
    <x v="7"/>
    <x v="0"/>
    <x v="0"/>
    <x v="0"/>
  </r>
  <r>
    <x v="110"/>
    <x v="52"/>
    <x v="3"/>
    <n v="2"/>
    <n v="510000"/>
    <x v="1"/>
    <x v="0"/>
    <x v="0"/>
    <x v="0"/>
  </r>
  <r>
    <x v="111"/>
    <x v="3"/>
    <x v="0"/>
    <n v="1"/>
    <n v="65000"/>
    <x v="0"/>
    <x v="0"/>
    <x v="0"/>
    <x v="0"/>
  </r>
  <r>
    <x v="112"/>
    <x v="58"/>
    <x v="0"/>
    <n v="4"/>
    <n v="70000"/>
    <x v="1"/>
    <x v="0"/>
    <x v="12"/>
    <x v="13"/>
  </r>
  <r>
    <x v="113"/>
    <x v="4"/>
    <x v="11"/>
    <n v="1"/>
    <n v="210000"/>
    <x v="1"/>
    <x v="0"/>
    <x v="0"/>
    <x v="0"/>
  </r>
  <r>
    <x v="114"/>
    <x v="56"/>
    <x v="5"/>
    <n v="1"/>
    <n v="100000"/>
    <x v="0"/>
    <x v="0"/>
    <x v="0"/>
    <x v="0"/>
  </r>
  <r>
    <x v="115"/>
    <x v="59"/>
    <x v="1"/>
    <n v="1"/>
    <n v="60000"/>
    <x v="1"/>
    <x v="0"/>
    <x v="0"/>
    <x v="0"/>
  </r>
  <r>
    <x v="116"/>
    <x v="59"/>
    <x v="4"/>
    <n v="1"/>
    <n v="30000"/>
    <x v="1"/>
    <x v="0"/>
    <x v="0"/>
    <x v="0"/>
  </r>
  <r>
    <x v="117"/>
    <x v="60"/>
    <x v="11"/>
    <n v="1"/>
    <n v="230000"/>
    <x v="1"/>
    <x v="0"/>
    <x v="0"/>
    <x v="0"/>
  </r>
  <r>
    <x v="118"/>
    <x v="61"/>
    <x v="18"/>
    <n v="1"/>
    <n v="200000"/>
    <x v="2"/>
    <x v="0"/>
    <x v="13"/>
    <x v="14"/>
  </r>
  <r>
    <x v="119"/>
    <x v="62"/>
    <x v="19"/>
    <n v="1"/>
    <n v="120000"/>
    <x v="2"/>
    <x v="0"/>
    <x v="0"/>
    <x v="0"/>
  </r>
  <r>
    <x v="120"/>
    <x v="62"/>
    <x v="20"/>
    <n v="1"/>
    <n v="50000"/>
    <x v="2"/>
    <x v="0"/>
    <x v="0"/>
    <x v="0"/>
  </r>
  <r>
    <x v="121"/>
    <x v="63"/>
    <x v="21"/>
    <m/>
    <m/>
    <x v="8"/>
    <x v="1"/>
    <x v="0"/>
    <x v="0"/>
  </r>
  <r>
    <x v="121"/>
    <x v="63"/>
    <x v="21"/>
    <m/>
    <m/>
    <x v="8"/>
    <x v="1"/>
    <x v="0"/>
    <x v="0"/>
  </r>
  <r>
    <x v="121"/>
    <x v="63"/>
    <x v="21"/>
    <m/>
    <m/>
    <x v="8"/>
    <x v="1"/>
    <x v="0"/>
    <x v="0"/>
  </r>
  <r>
    <x v="121"/>
    <x v="63"/>
    <x v="21"/>
    <m/>
    <m/>
    <x v="8"/>
    <x v="1"/>
    <x v="0"/>
    <x v="0"/>
  </r>
  <r>
    <x v="121"/>
    <x v="63"/>
    <x v="21"/>
    <m/>
    <m/>
    <x v="8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7D776-5F90-44B6-B445-8FDF19A10D6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68" firstHeaderRow="1" firstDataRow="1" firstDataCol="1"/>
  <pivotFields count="1">
    <pivotField axis="axisRow" showAll="0">
      <items count="65">
        <item x="56"/>
        <item x="57"/>
        <item x="38"/>
        <item x="10"/>
        <item x="47"/>
        <item x="18"/>
        <item x="13"/>
        <item x="9"/>
        <item x="32"/>
        <item x="50"/>
        <item x="49"/>
        <item x="62"/>
        <item x="4"/>
        <item x="46"/>
        <item x="22"/>
        <item x="42"/>
        <item x="7"/>
        <item x="19"/>
        <item x="0"/>
        <item x="53"/>
        <item x="21"/>
        <item x="3"/>
        <item x="43"/>
        <item x="17"/>
        <item x="31"/>
        <item x="33"/>
        <item x="2"/>
        <item x="12"/>
        <item x="26"/>
        <item x="23"/>
        <item x="29"/>
        <item x="58"/>
        <item x="25"/>
        <item x="11"/>
        <item x="41"/>
        <item x="36"/>
        <item x="14"/>
        <item x="39"/>
        <item x="37"/>
        <item x="48"/>
        <item x="8"/>
        <item x="44"/>
        <item x="35"/>
        <item x="27"/>
        <item x="55"/>
        <item x="16"/>
        <item x="20"/>
        <item x="59"/>
        <item x="24"/>
        <item x="6"/>
        <item x="51"/>
        <item x="40"/>
        <item x="45"/>
        <item x="28"/>
        <item x="5"/>
        <item x="34"/>
        <item x="61"/>
        <item x="1"/>
        <item x="54"/>
        <item x="15"/>
        <item x="30"/>
        <item x="60"/>
        <item x="52"/>
        <item x="63"/>
        <item t="default"/>
      </items>
    </pivotField>
  </pivotFields>
  <rowFields count="1">
    <field x="0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4CBFD-C06C-484F-9653-96E05831C98C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/>
  <pivotFields count="1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5">
        <item x="56"/>
        <item x="57"/>
        <item x="38"/>
        <item x="10"/>
        <item x="47"/>
        <item x="18"/>
        <item x="13"/>
        <item x="9"/>
        <item x="32"/>
        <item x="50"/>
        <item x="49"/>
        <item x="62"/>
        <item x="4"/>
        <item x="46"/>
        <item x="22"/>
        <item x="42"/>
        <item x="7"/>
        <item x="19"/>
        <item x="0"/>
        <item x="53"/>
        <item x="21"/>
        <item x="3"/>
        <item x="43"/>
        <item x="17"/>
        <item x="31"/>
        <item x="33"/>
        <item x="2"/>
        <item x="12"/>
        <item x="26"/>
        <item x="23"/>
        <item x="29"/>
        <item x="58"/>
        <item x="25"/>
        <item x="11"/>
        <item x="41"/>
        <item x="36"/>
        <item x="14"/>
        <item x="39"/>
        <item x="37"/>
        <item x="48"/>
        <item x="8"/>
        <item x="44"/>
        <item x="35"/>
        <item x="27"/>
        <item x="55"/>
        <item x="16"/>
        <item x="20"/>
        <item x="59"/>
        <item x="24"/>
        <item x="6"/>
        <item x="51"/>
        <item x="40"/>
        <item x="45"/>
        <item x="28"/>
        <item x="5"/>
        <item x="34"/>
        <item x="61"/>
        <item x="1"/>
        <item x="54"/>
        <item x="15"/>
        <item x="30"/>
        <item x="60"/>
        <item x="52"/>
        <item x="63"/>
        <item t="default"/>
      </items>
    </pivotField>
    <pivotField axis="axisRow" showAll="0">
      <items count="23">
        <item sd="0" x="4"/>
        <item sd="0" x="19"/>
        <item sd="0" x="20"/>
        <item sd="0" x="1"/>
        <item sd="0" x="15"/>
        <item sd="0" x="12"/>
        <item sd="0" x="6"/>
        <item sd="0" x="2"/>
        <item sd="0" x="8"/>
        <item sd="0" x="14"/>
        <item sd="0" x="7"/>
        <item sd="0" x="16"/>
        <item sd="0" x="11"/>
        <item sd="0" x="0"/>
        <item sd="0" x="3"/>
        <item sd="0" x="18"/>
        <item sd="0" x="17"/>
        <item sd="0" x="5"/>
        <item sd="0" x="9"/>
        <item sd="0" x="13"/>
        <item sd="0" x="10"/>
        <item sd="0" x="21"/>
        <item t="default"/>
      </items>
    </pivotField>
    <pivotField dataField="1" showAll="0"/>
    <pivotField dataField="1" showAll="0"/>
    <pivotField axis="axisRow" showAll="0">
      <items count="10">
        <item x="0"/>
        <item x="5"/>
        <item x="7"/>
        <item x="6"/>
        <item x="4"/>
        <item x="3"/>
        <item x="2"/>
        <item x="1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16">
        <item x="14"/>
        <item x="6"/>
        <item x="7"/>
        <item x="8"/>
        <item x="13"/>
        <item x="3"/>
        <item x="5"/>
        <item x="11"/>
        <item x="12"/>
        <item x="4"/>
        <item x="1"/>
        <item x="2"/>
        <item x="9"/>
        <item x="10"/>
        <item x="0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9">
    <field x="10"/>
    <field x="9"/>
    <field x="12"/>
    <field x="11"/>
    <field x="8"/>
    <field x="0"/>
    <field x="2"/>
    <field x="5"/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3" baseField="0" baseItem="0"/>
    <dataField name="Sum of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F7D66A-378A-4908-958A-C95F62C8083A}" name="Table9" displayName="Table9" ref="A1:I131" totalsRowShown="0">
  <autoFilter ref="A1:I131" xr:uid="{EBF7D66A-378A-4908-958A-C95F62C8083A}"/>
  <tableColumns count="9">
    <tableColumn id="1" xr3:uid="{A68CFB4A-4605-4F19-9872-91BF3693000F}" name="DATE" dataDxfId="3"/>
    <tableColumn id="2" xr3:uid="{5D313CC5-C701-4227-B2F9-D800D36E0276}" name="COSTUMER NAME"/>
    <tableColumn id="3" xr3:uid="{B3ACB0CD-3FF9-4B3D-A7E2-F24690B67F30}" name="PRODUCT"/>
    <tableColumn id="4" xr3:uid="{1E831581-9A01-4E75-A39D-A77605603660}" name="QTY"/>
    <tableColumn id="5" xr3:uid="{DC49F44F-2217-4E7C-8197-C6C2FA6B4BD5}" name="PRICE" dataDxfId="2" dataCellStyle="Currency"/>
    <tableColumn id="6" xr3:uid="{956A8943-9615-4482-95DC-89650BDE42EE}" name=" LOCATION"/>
    <tableColumn id="7" xr3:uid="{81BFD5FD-5030-438A-BC32-9C4A030157AF}" name="PAYMENT STATUS"/>
    <tableColumn id="11" xr3:uid="{02B89114-8795-4AC2-9B22-45CD1926AF51}" name="MONTH"/>
    <tableColumn id="12" xr3:uid="{8B5E9E66-C394-4855-8A2D-EEC6E5DD04D4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1628F-7140-4876-BED9-28D543FE84A4}" name="Table1" displayName="Table1" ref="A1:I127" totalsRowShown="0">
  <autoFilter ref="A1:I127" xr:uid="{A491628F-7140-4876-BED9-28D543FE84A4}"/>
  <tableColumns count="9">
    <tableColumn id="1" xr3:uid="{23C9EA8F-F7E1-4C5D-9CB3-97CBF12A1A1F}" name="DATE" dataDxfId="0"/>
    <tableColumn id="2" xr3:uid="{A437B5C6-7D9F-49C8-8349-1411C81D19AF}" name="COSTUMER NAME"/>
    <tableColumn id="3" xr3:uid="{3DC0E90F-821D-4BAC-B973-7950FB887292}" name="DESCRIPTION"/>
    <tableColumn id="4" xr3:uid="{453E4784-DED5-4087-B534-D7C7A51C25FB}" name="QUANTITY"/>
    <tableColumn id="5" xr3:uid="{7D6689DC-1538-4ADC-8F29-A38F4FAE2295}" name="PRICE" dataDxfId="1" dataCellStyle="Currency"/>
    <tableColumn id="6" xr3:uid="{5C9AAA19-2B44-4EE2-89C5-82F991EE0E29}" name="ADVANCE"/>
    <tableColumn id="7" xr3:uid="{C6FDD74F-3AE7-4EBE-82F8-22C1275AD127}" name="BALANCE"/>
    <tableColumn id="8" xr3:uid="{44B298E8-1BF4-4DB8-BC91-71140203917B}" name="DELIVERY DETAILS"/>
    <tableColumn id="9" xr3:uid="{2D7CEA34-EFAF-472C-85C2-66DC43DFAF80}" name="DELIVER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0B23-2C6B-4B63-A4C1-48DD459F37D0}">
  <dimension ref="A3:A68"/>
  <sheetViews>
    <sheetView workbookViewId="0">
      <selection activeCell="B3" sqref="B3"/>
    </sheetView>
  </sheetViews>
  <sheetFormatPr defaultRowHeight="14.4" x14ac:dyDescent="0.3"/>
  <cols>
    <col min="1" max="1" width="18.44140625" bestFit="1" customWidth="1"/>
  </cols>
  <sheetData>
    <row r="3" spans="1:1" x14ac:dyDescent="0.3">
      <c r="A3" s="4" t="s">
        <v>101</v>
      </c>
    </row>
    <row r="4" spans="1:1" x14ac:dyDescent="0.3">
      <c r="A4" s="5" t="s">
        <v>86</v>
      </c>
    </row>
    <row r="5" spans="1:1" x14ac:dyDescent="0.3">
      <c r="A5" s="5" t="s">
        <v>87</v>
      </c>
    </row>
    <row r="6" spans="1:1" x14ac:dyDescent="0.3">
      <c r="A6" s="5" t="s">
        <v>56</v>
      </c>
    </row>
    <row r="7" spans="1:1" x14ac:dyDescent="0.3">
      <c r="A7" s="5" t="s">
        <v>17</v>
      </c>
    </row>
    <row r="8" spans="1:1" x14ac:dyDescent="0.3">
      <c r="A8" s="5" t="s">
        <v>69</v>
      </c>
    </row>
    <row r="9" spans="1:1" x14ac:dyDescent="0.3">
      <c r="A9" s="5" t="s">
        <v>34</v>
      </c>
    </row>
    <row r="10" spans="1:1" x14ac:dyDescent="0.3">
      <c r="A10" s="5" t="s">
        <v>20</v>
      </c>
    </row>
    <row r="11" spans="1:1" x14ac:dyDescent="0.3">
      <c r="A11" s="5" t="s">
        <v>16</v>
      </c>
    </row>
    <row r="12" spans="1:1" x14ac:dyDescent="0.3">
      <c r="A12" s="5" t="s">
        <v>50</v>
      </c>
    </row>
    <row r="13" spans="1:1" x14ac:dyDescent="0.3">
      <c r="A13" s="5" t="s">
        <v>73</v>
      </c>
    </row>
    <row r="14" spans="1:1" x14ac:dyDescent="0.3">
      <c r="A14" s="5" t="s">
        <v>71</v>
      </c>
    </row>
    <row r="15" spans="1:1" x14ac:dyDescent="0.3">
      <c r="A15" s="5" t="s">
        <v>94</v>
      </c>
    </row>
    <row r="16" spans="1:1" x14ac:dyDescent="0.3">
      <c r="A16" s="5" t="s">
        <v>12</v>
      </c>
    </row>
    <row r="17" spans="1:1" x14ac:dyDescent="0.3">
      <c r="A17" s="5" t="s">
        <v>68</v>
      </c>
    </row>
    <row r="18" spans="1:1" x14ac:dyDescent="0.3">
      <c r="A18" s="5" t="s">
        <v>38</v>
      </c>
    </row>
    <row r="19" spans="1:1" x14ac:dyDescent="0.3">
      <c r="A19" s="5" t="s">
        <v>63</v>
      </c>
    </row>
    <row r="20" spans="1:1" x14ac:dyDescent="0.3">
      <c r="A20" s="5" t="s">
        <v>33</v>
      </c>
    </row>
    <row r="21" spans="1:1" x14ac:dyDescent="0.3">
      <c r="A21" s="5" t="s">
        <v>35</v>
      </c>
    </row>
    <row r="22" spans="1:1" x14ac:dyDescent="0.3">
      <c r="A22" s="5" t="s">
        <v>9</v>
      </c>
    </row>
    <row r="23" spans="1:1" x14ac:dyDescent="0.3">
      <c r="A23" s="5" t="s">
        <v>76</v>
      </c>
    </row>
    <row r="24" spans="1:1" x14ac:dyDescent="0.3">
      <c r="A24" s="5" t="s">
        <v>37</v>
      </c>
    </row>
    <row r="25" spans="1:1" x14ac:dyDescent="0.3">
      <c r="A25" s="5" t="s">
        <v>11</v>
      </c>
    </row>
    <row r="26" spans="1:1" x14ac:dyDescent="0.3">
      <c r="A26" s="5" t="s">
        <v>64</v>
      </c>
    </row>
    <row r="27" spans="1:1" x14ac:dyDescent="0.3">
      <c r="A27" s="5" t="s">
        <v>32</v>
      </c>
    </row>
    <row r="28" spans="1:1" x14ac:dyDescent="0.3">
      <c r="A28" s="5" t="s">
        <v>49</v>
      </c>
    </row>
    <row r="29" spans="1:1" x14ac:dyDescent="0.3">
      <c r="A29" s="5" t="s">
        <v>51</v>
      </c>
    </row>
    <row r="30" spans="1:1" x14ac:dyDescent="0.3">
      <c r="A30" s="5" t="s">
        <v>10</v>
      </c>
    </row>
    <row r="31" spans="1:1" x14ac:dyDescent="0.3">
      <c r="A31" s="5" t="s">
        <v>19</v>
      </c>
    </row>
    <row r="32" spans="1:1" x14ac:dyDescent="0.3">
      <c r="A32" s="5" t="s">
        <v>44</v>
      </c>
    </row>
    <row r="33" spans="1:1" x14ac:dyDescent="0.3">
      <c r="A33" s="5" t="s">
        <v>39</v>
      </c>
    </row>
    <row r="34" spans="1:1" x14ac:dyDescent="0.3">
      <c r="A34" s="5" t="s">
        <v>47</v>
      </c>
    </row>
    <row r="35" spans="1:1" x14ac:dyDescent="0.3">
      <c r="A35" s="5" t="s">
        <v>88</v>
      </c>
    </row>
    <row r="36" spans="1:1" x14ac:dyDescent="0.3">
      <c r="A36" s="5" t="s">
        <v>43</v>
      </c>
    </row>
    <row r="37" spans="1:1" x14ac:dyDescent="0.3">
      <c r="A37" s="5" t="s">
        <v>18</v>
      </c>
    </row>
    <row r="38" spans="1:1" x14ac:dyDescent="0.3">
      <c r="A38" s="5" t="s">
        <v>59</v>
      </c>
    </row>
    <row r="39" spans="1:1" x14ac:dyDescent="0.3">
      <c r="A39" s="5" t="s">
        <v>54</v>
      </c>
    </row>
    <row r="40" spans="1:1" x14ac:dyDescent="0.3">
      <c r="A40" s="5" t="s">
        <v>21</v>
      </c>
    </row>
    <row r="41" spans="1:1" x14ac:dyDescent="0.3">
      <c r="A41" s="5" t="s">
        <v>57</v>
      </c>
    </row>
    <row r="42" spans="1:1" x14ac:dyDescent="0.3">
      <c r="A42" s="5" t="s">
        <v>55</v>
      </c>
    </row>
    <row r="43" spans="1:1" x14ac:dyDescent="0.3">
      <c r="A43" s="5" t="s">
        <v>70</v>
      </c>
    </row>
    <row r="44" spans="1:1" x14ac:dyDescent="0.3">
      <c r="A44" s="5" t="s">
        <v>15</v>
      </c>
    </row>
    <row r="45" spans="1:1" x14ac:dyDescent="0.3">
      <c r="A45" s="5" t="s">
        <v>65</v>
      </c>
    </row>
    <row r="46" spans="1:1" x14ac:dyDescent="0.3">
      <c r="A46" s="5" t="s">
        <v>53</v>
      </c>
    </row>
    <row r="47" spans="1:1" x14ac:dyDescent="0.3">
      <c r="A47" s="5" t="s">
        <v>45</v>
      </c>
    </row>
    <row r="48" spans="1:1" x14ac:dyDescent="0.3">
      <c r="A48" s="5" t="s">
        <v>78</v>
      </c>
    </row>
    <row r="49" spans="1:1" x14ac:dyDescent="0.3">
      <c r="A49" s="5" t="s">
        <v>31</v>
      </c>
    </row>
    <row r="50" spans="1:1" x14ac:dyDescent="0.3">
      <c r="A50" s="5" t="s">
        <v>36</v>
      </c>
    </row>
    <row r="51" spans="1:1" x14ac:dyDescent="0.3">
      <c r="A51" s="5" t="s">
        <v>89</v>
      </c>
    </row>
    <row r="52" spans="1:1" x14ac:dyDescent="0.3">
      <c r="A52" s="5" t="s">
        <v>40</v>
      </c>
    </row>
    <row r="53" spans="1:1" x14ac:dyDescent="0.3">
      <c r="A53" s="5" t="s">
        <v>14</v>
      </c>
    </row>
    <row r="54" spans="1:1" x14ac:dyDescent="0.3">
      <c r="A54" s="5" t="s">
        <v>74</v>
      </c>
    </row>
    <row r="55" spans="1:1" x14ac:dyDescent="0.3">
      <c r="A55" s="5" t="s">
        <v>58</v>
      </c>
    </row>
    <row r="56" spans="1:1" x14ac:dyDescent="0.3">
      <c r="A56" s="5" t="s">
        <v>66</v>
      </c>
    </row>
    <row r="57" spans="1:1" x14ac:dyDescent="0.3">
      <c r="A57" s="5" t="s">
        <v>46</v>
      </c>
    </row>
    <row r="58" spans="1:1" x14ac:dyDescent="0.3">
      <c r="A58" s="5" t="s">
        <v>13</v>
      </c>
    </row>
    <row r="59" spans="1:1" x14ac:dyDescent="0.3">
      <c r="A59" s="5" t="s">
        <v>52</v>
      </c>
    </row>
    <row r="60" spans="1:1" x14ac:dyDescent="0.3">
      <c r="A60" s="5" t="s">
        <v>93</v>
      </c>
    </row>
    <row r="61" spans="1:1" x14ac:dyDescent="0.3">
      <c r="A61" s="5" t="s">
        <v>8</v>
      </c>
    </row>
    <row r="62" spans="1:1" x14ac:dyDescent="0.3">
      <c r="A62" s="5" t="s">
        <v>77</v>
      </c>
    </row>
    <row r="63" spans="1:1" x14ac:dyDescent="0.3">
      <c r="A63" s="5" t="s">
        <v>30</v>
      </c>
    </row>
    <row r="64" spans="1:1" x14ac:dyDescent="0.3">
      <c r="A64" s="5" t="s">
        <v>48</v>
      </c>
    </row>
    <row r="65" spans="1:1" x14ac:dyDescent="0.3">
      <c r="A65" s="5" t="s">
        <v>92</v>
      </c>
    </row>
    <row r="66" spans="1:1" x14ac:dyDescent="0.3">
      <c r="A66" s="5" t="s">
        <v>75</v>
      </c>
    </row>
    <row r="67" spans="1:1" x14ac:dyDescent="0.3">
      <c r="A67" s="5" t="s">
        <v>102</v>
      </c>
    </row>
    <row r="68" spans="1:1" x14ac:dyDescent="0.3">
      <c r="A68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C601-8FA1-4387-898F-4E8991882948}">
  <dimension ref="A3:C7"/>
  <sheetViews>
    <sheetView workbookViewId="0">
      <selection activeCell="F8" sqref="F8"/>
    </sheetView>
  </sheetViews>
  <sheetFormatPr defaultRowHeight="14.4" x14ac:dyDescent="0.3"/>
  <cols>
    <col min="1" max="1" width="12.5546875" bestFit="1" customWidth="1"/>
    <col min="2" max="2" width="10.77734375" bestFit="1" customWidth="1"/>
    <col min="3" max="3" width="12.33203125" bestFit="1" customWidth="1"/>
  </cols>
  <sheetData>
    <row r="3" spans="1:3" x14ac:dyDescent="0.3">
      <c r="A3" s="4" t="s">
        <v>101</v>
      </c>
      <c r="B3" t="s">
        <v>104</v>
      </c>
      <c r="C3" t="s">
        <v>100</v>
      </c>
    </row>
    <row r="4" spans="1:3" x14ac:dyDescent="0.3">
      <c r="A4" s="5" t="s">
        <v>109</v>
      </c>
      <c r="B4" s="6">
        <v>179</v>
      </c>
      <c r="C4" s="6">
        <v>15898000</v>
      </c>
    </row>
    <row r="5" spans="1:3" x14ac:dyDescent="0.3">
      <c r="A5" s="5" t="s">
        <v>105</v>
      </c>
      <c r="B5" s="6">
        <v>15</v>
      </c>
      <c r="C5" s="6">
        <v>1160000</v>
      </c>
    </row>
    <row r="6" spans="1:3" x14ac:dyDescent="0.3">
      <c r="A6" s="5" t="s">
        <v>106</v>
      </c>
      <c r="B6" s="6">
        <v>15</v>
      </c>
      <c r="C6" s="6">
        <v>1118000</v>
      </c>
    </row>
    <row r="7" spans="1:3" x14ac:dyDescent="0.3">
      <c r="A7" s="5" t="s">
        <v>103</v>
      </c>
      <c r="B7" s="6">
        <v>209</v>
      </c>
      <c r="C7" s="6">
        <v>18176000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E1B3-E6F2-48C4-9B0F-CADEE9BB70A3}">
  <dimension ref="A1:K128"/>
  <sheetViews>
    <sheetView zoomScale="115" zoomScaleNormal="115" workbookViewId="0">
      <selection activeCell="J10" sqref="J10"/>
    </sheetView>
  </sheetViews>
  <sheetFormatPr defaultRowHeight="14.4" x14ac:dyDescent="0.3"/>
  <cols>
    <col min="1" max="1" width="12.6640625" style="3" customWidth="1"/>
    <col min="2" max="2" width="20.6640625" customWidth="1"/>
    <col min="3" max="3" width="22.88671875" customWidth="1"/>
    <col min="5" max="5" width="13.44140625" style="1" customWidth="1"/>
    <col min="6" max="6" width="17.77734375" customWidth="1"/>
    <col min="7" max="7" width="18.109375" customWidth="1"/>
    <col min="8" max="8" width="11.109375" customWidth="1"/>
    <col min="9" max="9" width="18.88671875" customWidth="1"/>
    <col min="11" max="11" width="27.44140625" customWidth="1"/>
  </cols>
  <sheetData>
    <row r="1" spans="1:11" x14ac:dyDescent="0.3">
      <c r="A1" s="3" t="s">
        <v>5</v>
      </c>
      <c r="B1" t="s">
        <v>0</v>
      </c>
      <c r="C1" t="s">
        <v>1</v>
      </c>
      <c r="D1" t="s">
        <v>2</v>
      </c>
      <c r="E1" s="1" t="s">
        <v>28</v>
      </c>
      <c r="F1" t="s">
        <v>4</v>
      </c>
      <c r="G1" t="s">
        <v>3</v>
      </c>
      <c r="H1" t="s">
        <v>107</v>
      </c>
      <c r="I1" t="s">
        <v>108</v>
      </c>
    </row>
    <row r="2" spans="1:11" x14ac:dyDescent="0.3">
      <c r="A2" s="3">
        <v>45778</v>
      </c>
      <c r="B2" t="s">
        <v>9</v>
      </c>
      <c r="C2" t="s">
        <v>6</v>
      </c>
      <c r="D2">
        <v>2</v>
      </c>
      <c r="E2" s="1">
        <v>115000</v>
      </c>
      <c r="F2" t="s">
        <v>7</v>
      </c>
      <c r="G2" t="s">
        <v>29</v>
      </c>
    </row>
    <row r="3" spans="1:11" x14ac:dyDescent="0.3">
      <c r="A3" s="3">
        <v>45778</v>
      </c>
      <c r="B3" t="s">
        <v>8</v>
      </c>
      <c r="C3" t="s">
        <v>22</v>
      </c>
      <c r="D3">
        <v>1</v>
      </c>
      <c r="E3" s="1">
        <v>65000</v>
      </c>
      <c r="F3" t="s">
        <v>25</v>
      </c>
      <c r="G3" t="s">
        <v>29</v>
      </c>
    </row>
    <row r="4" spans="1:11" x14ac:dyDescent="0.3">
      <c r="A4" s="3">
        <v>45778</v>
      </c>
      <c r="B4" t="s">
        <v>10</v>
      </c>
      <c r="C4" t="s">
        <v>98</v>
      </c>
      <c r="D4">
        <v>1</v>
      </c>
      <c r="E4" s="1">
        <v>100000</v>
      </c>
      <c r="F4" t="s">
        <v>25</v>
      </c>
      <c r="G4" t="s">
        <v>29</v>
      </c>
    </row>
    <row r="5" spans="1:11" x14ac:dyDescent="0.3">
      <c r="A5" s="3">
        <v>45778</v>
      </c>
      <c r="B5" t="s">
        <v>10</v>
      </c>
      <c r="C5" t="s">
        <v>91</v>
      </c>
      <c r="D5">
        <v>1</v>
      </c>
      <c r="E5" s="1">
        <v>125000</v>
      </c>
      <c r="F5" t="s">
        <v>25</v>
      </c>
      <c r="G5" t="s">
        <v>29</v>
      </c>
      <c r="K5" t="str" cm="1">
        <f t="array" ref="K5:K67">_xlfn.UNIQUE(B2:B126)</f>
        <v xml:space="preserve">GIFT </v>
      </c>
    </row>
    <row r="6" spans="1:11" x14ac:dyDescent="0.3">
      <c r="A6" s="3">
        <v>45779</v>
      </c>
      <c r="B6" t="s">
        <v>11</v>
      </c>
      <c r="C6" t="s">
        <v>6</v>
      </c>
      <c r="D6">
        <v>1</v>
      </c>
      <c r="E6" s="1">
        <v>65000</v>
      </c>
      <c r="F6" t="s">
        <v>7</v>
      </c>
      <c r="G6" t="s">
        <v>29</v>
      </c>
      <c r="K6" t="str">
        <v>TOYIN</v>
      </c>
    </row>
    <row r="7" spans="1:11" x14ac:dyDescent="0.3">
      <c r="A7" s="3">
        <v>45780</v>
      </c>
      <c r="B7" t="s">
        <v>12</v>
      </c>
      <c r="C7" t="s">
        <v>6</v>
      </c>
      <c r="D7">
        <v>1</v>
      </c>
      <c r="E7" s="1">
        <v>45000</v>
      </c>
      <c r="F7" t="s">
        <v>25</v>
      </c>
      <c r="G7" t="s">
        <v>29</v>
      </c>
      <c r="K7" t="str">
        <v>LASE</v>
      </c>
    </row>
    <row r="8" spans="1:11" x14ac:dyDescent="0.3">
      <c r="A8" s="3">
        <v>45781</v>
      </c>
      <c r="B8" t="s">
        <v>13</v>
      </c>
      <c r="C8" t="s">
        <v>6</v>
      </c>
      <c r="D8">
        <v>2</v>
      </c>
      <c r="E8" s="1">
        <v>30000</v>
      </c>
      <c r="F8" t="s">
        <v>24</v>
      </c>
      <c r="G8" t="s">
        <v>29</v>
      </c>
      <c r="K8" t="str">
        <v>IBIRONKE</v>
      </c>
    </row>
    <row r="9" spans="1:11" x14ac:dyDescent="0.3">
      <c r="A9" s="3">
        <v>45782</v>
      </c>
      <c r="B9" t="s">
        <v>13</v>
      </c>
      <c r="C9" t="s">
        <v>22</v>
      </c>
      <c r="D9">
        <v>2</v>
      </c>
      <c r="E9" s="1">
        <v>30000</v>
      </c>
      <c r="F9" t="s">
        <v>24</v>
      </c>
      <c r="G9" t="s">
        <v>29</v>
      </c>
      <c r="K9" t="str">
        <v>DARA</v>
      </c>
    </row>
    <row r="10" spans="1:11" x14ac:dyDescent="0.3">
      <c r="A10" s="3">
        <v>45783</v>
      </c>
      <c r="B10" t="s">
        <v>13</v>
      </c>
      <c r="C10" t="s">
        <v>23</v>
      </c>
      <c r="D10">
        <v>2</v>
      </c>
      <c r="E10" s="1">
        <v>110000</v>
      </c>
      <c r="F10" t="s">
        <v>24</v>
      </c>
      <c r="G10" t="s">
        <v>29</v>
      </c>
      <c r="K10" t="str">
        <v>TEDIRI</v>
      </c>
    </row>
    <row r="11" spans="1:11" x14ac:dyDescent="0.3">
      <c r="A11" s="3">
        <v>45784</v>
      </c>
      <c r="B11" t="s">
        <v>14</v>
      </c>
      <c r="C11" t="s">
        <v>6</v>
      </c>
      <c r="D11">
        <v>2</v>
      </c>
      <c r="E11" s="1">
        <v>215000</v>
      </c>
      <c r="F11" t="s">
        <v>7</v>
      </c>
      <c r="G11" t="s">
        <v>29</v>
      </c>
      <c r="H11" s="7">
        <v>45807</v>
      </c>
      <c r="I11" s="2">
        <f>SUM(E2:E22)</f>
        <v>2317000</v>
      </c>
      <c r="K11" t="str">
        <v>SARAH</v>
      </c>
    </row>
    <row r="12" spans="1:11" x14ac:dyDescent="0.3">
      <c r="A12" s="3">
        <v>45785</v>
      </c>
      <c r="B12" t="s">
        <v>14</v>
      </c>
      <c r="C12" t="s">
        <v>26</v>
      </c>
      <c r="D12">
        <v>1</v>
      </c>
      <c r="E12" s="1">
        <v>90000</v>
      </c>
      <c r="F12" t="s">
        <v>7</v>
      </c>
      <c r="G12" t="s">
        <v>29</v>
      </c>
      <c r="K12" t="str">
        <v>FOLLY BEE</v>
      </c>
    </row>
    <row r="13" spans="1:11" x14ac:dyDescent="0.3">
      <c r="A13" s="3">
        <v>45786</v>
      </c>
      <c r="B13" t="s">
        <v>14</v>
      </c>
      <c r="C13" t="s">
        <v>23</v>
      </c>
      <c r="D13">
        <v>1</v>
      </c>
      <c r="E13" s="1">
        <v>80000</v>
      </c>
      <c r="F13" t="s">
        <v>7</v>
      </c>
      <c r="G13" t="s">
        <v>29</v>
      </c>
      <c r="K13" t="str">
        <v>MRS OLAYINKA</v>
      </c>
    </row>
    <row r="14" spans="1:11" x14ac:dyDescent="0.3">
      <c r="A14" s="3">
        <v>45787</v>
      </c>
      <c r="B14" t="s">
        <v>33</v>
      </c>
      <c r="C14" t="s">
        <v>22</v>
      </c>
      <c r="D14">
        <v>2</v>
      </c>
      <c r="E14" s="1">
        <v>250000</v>
      </c>
      <c r="F14" t="s">
        <v>27</v>
      </c>
      <c r="G14" t="s">
        <v>29</v>
      </c>
      <c r="K14" t="str">
        <v>BUNMI</v>
      </c>
    </row>
    <row r="15" spans="1:11" x14ac:dyDescent="0.3">
      <c r="A15" s="3">
        <v>45788</v>
      </c>
      <c r="B15" t="s">
        <v>15</v>
      </c>
      <c r="C15" t="s">
        <v>99</v>
      </c>
      <c r="D15">
        <v>1</v>
      </c>
      <c r="E15" s="1">
        <v>135000</v>
      </c>
      <c r="F15" t="s">
        <v>25</v>
      </c>
      <c r="G15" t="s">
        <v>29</v>
      </c>
      <c r="K15" t="str">
        <v>ARIYIBI</v>
      </c>
    </row>
    <row r="16" spans="1:11" x14ac:dyDescent="0.3">
      <c r="A16" s="3">
        <v>45788</v>
      </c>
      <c r="B16" t="s">
        <v>15</v>
      </c>
      <c r="C16" t="s">
        <v>6</v>
      </c>
      <c r="D16">
        <v>1</v>
      </c>
      <c r="E16" s="1">
        <v>140000</v>
      </c>
      <c r="F16" t="s">
        <v>25</v>
      </c>
      <c r="G16" t="s">
        <v>29</v>
      </c>
      <c r="K16" t="str">
        <v>MILORLAR</v>
      </c>
    </row>
    <row r="17" spans="1:11" x14ac:dyDescent="0.3">
      <c r="A17" s="3">
        <v>45789</v>
      </c>
      <c r="B17" t="s">
        <v>16</v>
      </c>
      <c r="C17" t="s">
        <v>6</v>
      </c>
      <c r="D17">
        <v>3</v>
      </c>
      <c r="E17" s="1">
        <v>144000</v>
      </c>
      <c r="F17" t="s">
        <v>24</v>
      </c>
      <c r="G17" t="s">
        <v>29</v>
      </c>
      <c r="K17" t="str">
        <v>LOLA</v>
      </c>
    </row>
    <row r="18" spans="1:11" x14ac:dyDescent="0.3">
      <c r="A18" s="3">
        <v>45790</v>
      </c>
      <c r="B18" t="s">
        <v>17</v>
      </c>
      <c r="C18" t="s">
        <v>26</v>
      </c>
      <c r="D18">
        <v>1</v>
      </c>
      <c r="E18" s="1">
        <v>80000</v>
      </c>
      <c r="F18" t="s">
        <v>7</v>
      </c>
      <c r="G18" t="s">
        <v>29</v>
      </c>
      <c r="K18" t="str">
        <v>BOJ</v>
      </c>
    </row>
    <row r="19" spans="1:11" x14ac:dyDescent="0.3">
      <c r="A19" s="3">
        <v>45791</v>
      </c>
      <c r="B19" t="s">
        <v>18</v>
      </c>
      <c r="C19" t="s">
        <v>22</v>
      </c>
      <c r="D19">
        <v>3</v>
      </c>
      <c r="E19" s="1">
        <v>165000</v>
      </c>
      <c r="F19" t="s">
        <v>27</v>
      </c>
      <c r="G19" t="s">
        <v>29</v>
      </c>
      <c r="K19" t="str">
        <v>MOFOLUWA</v>
      </c>
    </row>
    <row r="20" spans="1:11" x14ac:dyDescent="0.3">
      <c r="A20" s="3">
        <v>45792</v>
      </c>
      <c r="B20" t="s">
        <v>19</v>
      </c>
      <c r="C20" t="s">
        <v>22</v>
      </c>
      <c r="D20">
        <v>1</v>
      </c>
      <c r="E20" s="1">
        <v>180000</v>
      </c>
      <c r="F20" t="s">
        <v>27</v>
      </c>
      <c r="G20" t="s">
        <v>29</v>
      </c>
      <c r="K20" t="str">
        <v>TREASURE</v>
      </c>
    </row>
    <row r="21" spans="1:11" x14ac:dyDescent="0.3">
      <c r="A21" s="3">
        <v>45793</v>
      </c>
      <c r="B21" t="s">
        <v>20</v>
      </c>
      <c r="C21" t="s">
        <v>22</v>
      </c>
      <c r="D21">
        <v>2</v>
      </c>
      <c r="E21" s="1">
        <v>83000</v>
      </c>
      <c r="F21" t="s">
        <v>25</v>
      </c>
      <c r="G21" t="s">
        <v>29</v>
      </c>
      <c r="K21" t="str">
        <v>OPEMIPO</v>
      </c>
    </row>
    <row r="22" spans="1:11" x14ac:dyDescent="0.3">
      <c r="A22" s="3">
        <v>45794</v>
      </c>
      <c r="B22" t="s">
        <v>21</v>
      </c>
      <c r="C22" t="s">
        <v>6</v>
      </c>
      <c r="D22">
        <v>1</v>
      </c>
      <c r="E22" s="1">
        <v>70000</v>
      </c>
      <c r="F22" t="s">
        <v>25</v>
      </c>
      <c r="G22" t="s">
        <v>29</v>
      </c>
      <c r="K22" t="str">
        <v>KEMI</v>
      </c>
    </row>
    <row r="23" spans="1:11" x14ac:dyDescent="0.3">
      <c r="A23" s="3">
        <v>45809</v>
      </c>
      <c r="B23" t="s">
        <v>30</v>
      </c>
      <c r="C23" t="s">
        <v>22</v>
      </c>
      <c r="D23">
        <v>1</v>
      </c>
      <c r="E23" s="1">
        <v>170000</v>
      </c>
      <c r="F23" t="s">
        <v>27</v>
      </c>
      <c r="G23" t="s">
        <v>29</v>
      </c>
      <c r="K23" t="str">
        <v>BIG DEE</v>
      </c>
    </row>
    <row r="24" spans="1:11" x14ac:dyDescent="0.3">
      <c r="A24" s="3">
        <v>45810</v>
      </c>
      <c r="B24" t="s">
        <v>31</v>
      </c>
      <c r="C24" t="s">
        <v>22</v>
      </c>
      <c r="D24">
        <v>1</v>
      </c>
      <c r="E24" s="1">
        <v>100000</v>
      </c>
      <c r="F24" t="s">
        <v>25</v>
      </c>
      <c r="G24" t="s">
        <v>29</v>
      </c>
      <c r="K24" t="str">
        <v>FUMBI</v>
      </c>
    </row>
    <row r="25" spans="1:11" x14ac:dyDescent="0.3">
      <c r="A25" s="3">
        <v>45811</v>
      </c>
      <c r="B25" t="s">
        <v>32</v>
      </c>
      <c r="C25" t="s">
        <v>22</v>
      </c>
      <c r="D25">
        <v>1</v>
      </c>
      <c r="E25" s="1">
        <v>100000</v>
      </c>
      <c r="F25" t="s">
        <v>24</v>
      </c>
      <c r="G25" t="s">
        <v>29</v>
      </c>
      <c r="K25" t="str">
        <v>ORCHID</v>
      </c>
    </row>
    <row r="26" spans="1:11" x14ac:dyDescent="0.3">
      <c r="A26" s="3">
        <v>45812</v>
      </c>
      <c r="B26" t="s">
        <v>33</v>
      </c>
      <c r="C26" t="s">
        <v>22</v>
      </c>
      <c r="D26">
        <v>1</v>
      </c>
      <c r="E26" s="1">
        <v>100000</v>
      </c>
      <c r="F26" t="s">
        <v>24</v>
      </c>
      <c r="G26" t="s">
        <v>29</v>
      </c>
      <c r="K26" t="str">
        <v>HELEN</v>
      </c>
    </row>
    <row r="27" spans="1:11" x14ac:dyDescent="0.3">
      <c r="A27" s="3">
        <v>45813</v>
      </c>
      <c r="B27" t="s">
        <v>33</v>
      </c>
      <c r="C27" t="s">
        <v>41</v>
      </c>
      <c r="D27">
        <v>1</v>
      </c>
      <c r="E27" s="1">
        <v>108000</v>
      </c>
      <c r="F27" t="s">
        <v>27</v>
      </c>
      <c r="G27" t="s">
        <v>29</v>
      </c>
      <c r="K27" t="str">
        <v>FISAYO</v>
      </c>
    </row>
    <row r="28" spans="1:11" x14ac:dyDescent="0.3">
      <c r="A28" s="3">
        <v>45814</v>
      </c>
      <c r="B28" t="s">
        <v>12</v>
      </c>
      <c r="C28" t="s">
        <v>6</v>
      </c>
      <c r="D28">
        <v>1</v>
      </c>
      <c r="E28" s="1">
        <v>75000</v>
      </c>
      <c r="F28" t="s">
        <v>25</v>
      </c>
      <c r="G28" t="s">
        <v>29</v>
      </c>
      <c r="K28" t="str">
        <v>MARIAM</v>
      </c>
    </row>
    <row r="29" spans="1:11" x14ac:dyDescent="0.3">
      <c r="A29" s="3">
        <v>45815</v>
      </c>
      <c r="B29" t="s">
        <v>34</v>
      </c>
      <c r="C29" t="s">
        <v>22</v>
      </c>
      <c r="D29">
        <v>1</v>
      </c>
      <c r="E29" s="1">
        <v>120000</v>
      </c>
      <c r="F29" t="s">
        <v>24</v>
      </c>
      <c r="G29" t="s">
        <v>29</v>
      </c>
      <c r="H29" s="7">
        <v>45838</v>
      </c>
      <c r="I29" s="2">
        <f>SUM(E23:E40)</f>
        <v>2335000</v>
      </c>
      <c r="K29" t="str">
        <v>RACHEAL</v>
      </c>
    </row>
    <row r="30" spans="1:11" x14ac:dyDescent="0.3">
      <c r="A30" s="3">
        <v>45816</v>
      </c>
      <c r="B30" t="s">
        <v>34</v>
      </c>
      <c r="C30" t="s">
        <v>22</v>
      </c>
      <c r="D30">
        <v>1</v>
      </c>
      <c r="E30" s="1">
        <v>125000</v>
      </c>
      <c r="F30" t="s">
        <v>24</v>
      </c>
      <c r="G30" t="s">
        <v>29</v>
      </c>
      <c r="K30" t="str">
        <v>MILORLA</v>
      </c>
    </row>
    <row r="31" spans="1:11" x14ac:dyDescent="0.3">
      <c r="A31" s="3">
        <v>45817</v>
      </c>
      <c r="B31" t="s">
        <v>16</v>
      </c>
      <c r="C31" t="s">
        <v>23</v>
      </c>
      <c r="D31">
        <v>1</v>
      </c>
      <c r="E31" s="1">
        <v>70000</v>
      </c>
      <c r="F31" t="s">
        <v>24</v>
      </c>
      <c r="G31" t="s">
        <v>29</v>
      </c>
      <c r="K31" t="str">
        <v>LOVET</v>
      </c>
    </row>
    <row r="32" spans="1:11" x14ac:dyDescent="0.3">
      <c r="A32" s="3">
        <v>45818</v>
      </c>
      <c r="B32" t="s">
        <v>16</v>
      </c>
      <c r="C32" t="s">
        <v>22</v>
      </c>
      <c r="D32">
        <v>2</v>
      </c>
      <c r="E32" s="1">
        <v>157000</v>
      </c>
      <c r="F32" t="s">
        <v>24</v>
      </c>
      <c r="G32" t="s">
        <v>29</v>
      </c>
      <c r="K32" t="str">
        <v>NEFENTLY</v>
      </c>
    </row>
    <row r="33" spans="1:11" x14ac:dyDescent="0.3">
      <c r="A33" s="3">
        <v>45819</v>
      </c>
      <c r="B33" t="s">
        <v>35</v>
      </c>
      <c r="C33" t="s">
        <v>22</v>
      </c>
      <c r="D33">
        <v>2</v>
      </c>
      <c r="E33" s="1">
        <v>165000</v>
      </c>
      <c r="F33" t="s">
        <v>42</v>
      </c>
      <c r="G33" t="s">
        <v>29</v>
      </c>
      <c r="K33" t="str">
        <v>SUSAN</v>
      </c>
    </row>
    <row r="34" spans="1:11" x14ac:dyDescent="0.3">
      <c r="A34" s="3">
        <v>45820</v>
      </c>
      <c r="B34" t="s">
        <v>30</v>
      </c>
      <c r="C34" t="s">
        <v>22</v>
      </c>
      <c r="D34">
        <v>1</v>
      </c>
      <c r="E34" s="1">
        <v>95000</v>
      </c>
      <c r="F34" t="s">
        <v>27</v>
      </c>
      <c r="G34" t="s">
        <v>29</v>
      </c>
      <c r="K34" t="str">
        <v>MARY</v>
      </c>
    </row>
    <row r="35" spans="1:11" x14ac:dyDescent="0.3">
      <c r="A35" s="3">
        <v>45821</v>
      </c>
      <c r="B35" t="s">
        <v>36</v>
      </c>
      <c r="C35" t="s">
        <v>41</v>
      </c>
      <c r="D35">
        <v>1</v>
      </c>
      <c r="E35" s="1">
        <v>110000</v>
      </c>
      <c r="F35" t="s">
        <v>25</v>
      </c>
      <c r="G35" t="s">
        <v>29</v>
      </c>
      <c r="K35" t="str">
        <v>TUNMISE</v>
      </c>
    </row>
    <row r="36" spans="1:11" x14ac:dyDescent="0.3">
      <c r="A36" s="3">
        <v>45822</v>
      </c>
      <c r="B36" t="s">
        <v>37</v>
      </c>
      <c r="C36" t="s">
        <v>22</v>
      </c>
      <c r="D36">
        <v>1</v>
      </c>
      <c r="E36" s="1">
        <v>230000</v>
      </c>
      <c r="F36" t="s">
        <v>42</v>
      </c>
      <c r="G36" t="s">
        <v>29</v>
      </c>
      <c r="K36" t="str">
        <v>KENDAL</v>
      </c>
    </row>
    <row r="37" spans="1:11" x14ac:dyDescent="0.3">
      <c r="A37" s="3">
        <v>45823</v>
      </c>
      <c r="B37" t="s">
        <v>38</v>
      </c>
      <c r="C37" t="s">
        <v>22</v>
      </c>
      <c r="D37">
        <v>1</v>
      </c>
      <c r="E37" s="1">
        <v>120000</v>
      </c>
      <c r="F37" t="s">
        <v>42</v>
      </c>
      <c r="G37" t="s">
        <v>29</v>
      </c>
      <c r="K37" t="str">
        <v>CHI CHI</v>
      </c>
    </row>
    <row r="38" spans="1:11" x14ac:dyDescent="0.3">
      <c r="A38" s="3">
        <v>45824</v>
      </c>
      <c r="B38" t="s">
        <v>39</v>
      </c>
      <c r="C38" t="s">
        <v>41</v>
      </c>
      <c r="D38">
        <v>1</v>
      </c>
      <c r="E38" s="1">
        <v>80000</v>
      </c>
      <c r="F38" t="s">
        <v>27</v>
      </c>
      <c r="G38" t="s">
        <v>29</v>
      </c>
      <c r="K38" t="str">
        <v>KIMBERLY</v>
      </c>
    </row>
    <row r="39" spans="1:11" x14ac:dyDescent="0.3">
      <c r="A39" s="3">
        <v>45825</v>
      </c>
      <c r="B39" t="s">
        <v>30</v>
      </c>
      <c r="C39" t="s">
        <v>22</v>
      </c>
      <c r="D39">
        <v>1</v>
      </c>
      <c r="E39" s="1">
        <v>160000</v>
      </c>
      <c r="F39" t="s">
        <v>27</v>
      </c>
      <c r="G39" t="s">
        <v>29</v>
      </c>
      <c r="K39" t="str">
        <v>TEMI</v>
      </c>
    </row>
    <row r="40" spans="1:11" x14ac:dyDescent="0.3">
      <c r="A40" s="3">
        <v>45826</v>
      </c>
      <c r="B40" t="s">
        <v>40</v>
      </c>
      <c r="C40" t="s">
        <v>22</v>
      </c>
      <c r="D40">
        <v>1</v>
      </c>
      <c r="E40" s="1">
        <v>250000</v>
      </c>
      <c r="F40" t="s">
        <v>42</v>
      </c>
      <c r="G40" t="s">
        <v>29</v>
      </c>
      <c r="K40" t="str">
        <v>MUMMY DAMI</v>
      </c>
    </row>
    <row r="41" spans="1:11" x14ac:dyDescent="0.3">
      <c r="A41" s="3">
        <v>45839</v>
      </c>
      <c r="B41" t="s">
        <v>32</v>
      </c>
      <c r="C41" t="s">
        <v>22</v>
      </c>
      <c r="D41">
        <v>1</v>
      </c>
      <c r="E41" s="1">
        <v>135000</v>
      </c>
      <c r="F41" t="s">
        <v>24</v>
      </c>
      <c r="G41" t="s">
        <v>29</v>
      </c>
      <c r="K41" t="str">
        <v>MOFOLOWA</v>
      </c>
    </row>
    <row r="42" spans="1:11" x14ac:dyDescent="0.3">
      <c r="A42" s="3">
        <v>45840</v>
      </c>
      <c r="B42" t="s">
        <v>19</v>
      </c>
      <c r="C42" t="s">
        <v>23</v>
      </c>
      <c r="D42">
        <v>1</v>
      </c>
      <c r="E42" s="1">
        <v>135000</v>
      </c>
      <c r="F42" t="s">
        <v>27</v>
      </c>
      <c r="G42" t="s">
        <v>29</v>
      </c>
      <c r="H42" s="7">
        <v>45868</v>
      </c>
      <c r="I42" s="2">
        <f>SUM(E41:E48)</f>
        <v>1165000</v>
      </c>
      <c r="K42" t="str">
        <v>MRS FINE</v>
      </c>
    </row>
    <row r="43" spans="1:11" x14ac:dyDescent="0.3">
      <c r="A43" s="3">
        <v>45841</v>
      </c>
      <c r="B43" t="s">
        <v>19</v>
      </c>
      <c r="C43" t="s">
        <v>22</v>
      </c>
      <c r="D43">
        <v>1</v>
      </c>
      <c r="E43" s="1">
        <v>100000</v>
      </c>
      <c r="F43" t="s">
        <v>27</v>
      </c>
      <c r="G43" t="s">
        <v>29</v>
      </c>
      <c r="K43" t="str">
        <v>AMY</v>
      </c>
    </row>
    <row r="44" spans="1:11" x14ac:dyDescent="0.3">
      <c r="A44" s="3">
        <v>45842</v>
      </c>
      <c r="B44" t="s">
        <v>43</v>
      </c>
      <c r="C44" t="s">
        <v>6</v>
      </c>
      <c r="D44">
        <v>3</v>
      </c>
      <c r="E44" s="1">
        <v>225000</v>
      </c>
      <c r="F44" t="s">
        <v>27</v>
      </c>
      <c r="G44" t="s">
        <v>29</v>
      </c>
      <c r="H44" s="2"/>
      <c r="I44" s="2"/>
      <c r="K44" t="str">
        <v>MPESA</v>
      </c>
    </row>
    <row r="45" spans="1:11" x14ac:dyDescent="0.3">
      <c r="A45" s="3">
        <v>45843</v>
      </c>
      <c r="B45" t="s">
        <v>44</v>
      </c>
      <c r="C45" t="s">
        <v>6</v>
      </c>
      <c r="D45">
        <v>1</v>
      </c>
      <c r="E45" s="1">
        <v>70000</v>
      </c>
      <c r="F45" t="s">
        <v>27</v>
      </c>
      <c r="G45" t="s">
        <v>29</v>
      </c>
      <c r="K45" t="str">
        <v>SIERRA</v>
      </c>
    </row>
    <row r="46" spans="1:11" x14ac:dyDescent="0.3">
      <c r="A46" s="3">
        <v>45844</v>
      </c>
      <c r="B46" t="s">
        <v>36</v>
      </c>
      <c r="C46" t="s">
        <v>41</v>
      </c>
      <c r="D46">
        <v>1</v>
      </c>
      <c r="E46" s="1">
        <v>220000</v>
      </c>
      <c r="F46" t="s">
        <v>25</v>
      </c>
      <c r="G46" t="s">
        <v>29</v>
      </c>
      <c r="K46" t="str">
        <v>MINNE</v>
      </c>
    </row>
    <row r="47" spans="1:11" x14ac:dyDescent="0.3">
      <c r="A47" s="3">
        <v>45845</v>
      </c>
      <c r="B47" t="s">
        <v>43</v>
      </c>
      <c r="C47" t="s">
        <v>22</v>
      </c>
      <c r="D47">
        <v>1</v>
      </c>
      <c r="E47" s="1">
        <v>130000</v>
      </c>
      <c r="F47" t="s">
        <v>27</v>
      </c>
      <c r="G47" t="s">
        <v>29</v>
      </c>
      <c r="K47" t="str">
        <v>FIYIN</v>
      </c>
    </row>
    <row r="48" spans="1:11" x14ac:dyDescent="0.3">
      <c r="A48" s="3">
        <v>45846</v>
      </c>
      <c r="B48" t="s">
        <v>43</v>
      </c>
      <c r="C48" t="s">
        <v>6</v>
      </c>
      <c r="D48">
        <v>3</v>
      </c>
      <c r="E48" s="1">
        <v>150000</v>
      </c>
      <c r="F48" t="s">
        <v>27</v>
      </c>
      <c r="G48" t="s">
        <v>29</v>
      </c>
      <c r="K48" t="str">
        <v>KAFTAL</v>
      </c>
    </row>
    <row r="49" spans="1:11" x14ac:dyDescent="0.3">
      <c r="A49" s="3">
        <v>45870</v>
      </c>
      <c r="B49" t="s">
        <v>45</v>
      </c>
      <c r="C49" t="s">
        <v>22</v>
      </c>
      <c r="D49">
        <v>1</v>
      </c>
      <c r="E49" s="1">
        <v>240000</v>
      </c>
      <c r="F49" t="s">
        <v>42</v>
      </c>
      <c r="G49" t="s">
        <v>29</v>
      </c>
      <c r="K49" t="str">
        <v>MUMMY AYATO</v>
      </c>
    </row>
    <row r="50" spans="1:11" x14ac:dyDescent="0.3">
      <c r="A50" s="3">
        <v>45871</v>
      </c>
      <c r="B50" t="s">
        <v>46</v>
      </c>
      <c r="C50" t="s">
        <v>6</v>
      </c>
      <c r="D50">
        <v>2</v>
      </c>
      <c r="E50" s="1">
        <v>80000</v>
      </c>
      <c r="F50" t="s">
        <v>7</v>
      </c>
      <c r="G50" t="s">
        <v>29</v>
      </c>
      <c r="K50" t="str">
        <v>SIMI</v>
      </c>
    </row>
    <row r="51" spans="1:11" x14ac:dyDescent="0.3">
      <c r="A51" s="3">
        <v>45872</v>
      </c>
      <c r="B51" t="s">
        <v>47</v>
      </c>
      <c r="C51" t="s">
        <v>22</v>
      </c>
      <c r="D51">
        <v>1</v>
      </c>
      <c r="E51" s="1">
        <v>60000</v>
      </c>
      <c r="F51" t="s">
        <v>25</v>
      </c>
      <c r="G51" t="s">
        <v>29</v>
      </c>
      <c r="K51" t="str">
        <v>EMYSHAIRLINE</v>
      </c>
    </row>
    <row r="52" spans="1:11" x14ac:dyDescent="0.3">
      <c r="A52" s="3">
        <v>45873</v>
      </c>
      <c r="B52" t="s">
        <v>11</v>
      </c>
      <c r="C52" t="s">
        <v>6</v>
      </c>
      <c r="D52">
        <v>3</v>
      </c>
      <c r="E52" s="1">
        <v>135000</v>
      </c>
      <c r="F52" t="s">
        <v>7</v>
      </c>
      <c r="G52" t="s">
        <v>29</v>
      </c>
      <c r="H52" s="7">
        <v>45899</v>
      </c>
      <c r="I52" s="2">
        <f>SUM(E49:E58)</f>
        <v>1780000</v>
      </c>
      <c r="K52" t="str">
        <v>BERRY</v>
      </c>
    </row>
    <row r="53" spans="1:11" x14ac:dyDescent="0.3">
      <c r="A53" s="3">
        <v>45874</v>
      </c>
      <c r="B53" t="s">
        <v>48</v>
      </c>
      <c r="C53" t="s">
        <v>22</v>
      </c>
      <c r="D53">
        <v>1</v>
      </c>
      <c r="E53" s="1">
        <v>100000</v>
      </c>
      <c r="F53" t="s">
        <v>25</v>
      </c>
      <c r="G53" t="s">
        <v>29</v>
      </c>
      <c r="K53" t="str">
        <v>MRS OLABUJO</v>
      </c>
    </row>
    <row r="54" spans="1:11" x14ac:dyDescent="0.3">
      <c r="A54" s="3">
        <v>45875</v>
      </c>
      <c r="B54" t="s">
        <v>49</v>
      </c>
      <c r="C54" t="s">
        <v>22</v>
      </c>
      <c r="D54">
        <v>1</v>
      </c>
      <c r="E54" s="1">
        <v>270000</v>
      </c>
      <c r="F54" t="s">
        <v>42</v>
      </c>
      <c r="G54" t="s">
        <v>29</v>
      </c>
      <c r="K54" t="str">
        <v>DAMI AMOSUN</v>
      </c>
    </row>
    <row r="55" spans="1:11" x14ac:dyDescent="0.3">
      <c r="A55" s="3">
        <v>45876</v>
      </c>
      <c r="B55" t="s">
        <v>50</v>
      </c>
      <c r="C55" t="s">
        <v>22</v>
      </c>
      <c r="D55">
        <v>1</v>
      </c>
      <c r="E55" s="1">
        <v>295000</v>
      </c>
      <c r="F55" t="s">
        <v>42</v>
      </c>
      <c r="G55" t="s">
        <v>29</v>
      </c>
      <c r="K55" t="str">
        <v>CHIDI ESTHER</v>
      </c>
    </row>
    <row r="56" spans="1:11" x14ac:dyDescent="0.3">
      <c r="A56" s="3">
        <v>45877</v>
      </c>
      <c r="B56" t="s">
        <v>51</v>
      </c>
      <c r="C56" t="s">
        <v>22</v>
      </c>
      <c r="D56">
        <v>1</v>
      </c>
      <c r="E56" s="1">
        <v>315000</v>
      </c>
      <c r="F56" t="s">
        <v>42</v>
      </c>
      <c r="G56" t="s">
        <v>29</v>
      </c>
      <c r="K56" t="str">
        <v>SEUN</v>
      </c>
    </row>
    <row r="57" spans="1:11" x14ac:dyDescent="0.3">
      <c r="A57" s="3">
        <v>45878</v>
      </c>
      <c r="B57" t="s">
        <v>43</v>
      </c>
      <c r="C57" t="s">
        <v>41</v>
      </c>
      <c r="D57">
        <v>3</v>
      </c>
      <c r="E57" s="1">
        <v>135000</v>
      </c>
      <c r="F57" t="s">
        <v>27</v>
      </c>
      <c r="G57" t="s">
        <v>29</v>
      </c>
      <c r="K57" t="str">
        <v>ZAY</v>
      </c>
    </row>
    <row r="58" spans="1:11" x14ac:dyDescent="0.3">
      <c r="A58" s="3">
        <v>45879</v>
      </c>
      <c r="B58" t="s">
        <v>43</v>
      </c>
      <c r="C58" t="s">
        <v>6</v>
      </c>
      <c r="D58">
        <v>1</v>
      </c>
      <c r="E58" s="1">
        <v>150000</v>
      </c>
      <c r="F58" t="s">
        <v>27</v>
      </c>
      <c r="G58" t="s">
        <v>29</v>
      </c>
      <c r="K58" t="str">
        <v>HALIMAT</v>
      </c>
    </row>
    <row r="59" spans="1:11" x14ac:dyDescent="0.3">
      <c r="A59" s="3">
        <v>45901</v>
      </c>
      <c r="B59" t="s">
        <v>52</v>
      </c>
      <c r="C59" t="s">
        <v>22</v>
      </c>
      <c r="D59">
        <v>1</v>
      </c>
      <c r="E59" s="1">
        <v>265000</v>
      </c>
      <c r="F59" t="s">
        <v>42</v>
      </c>
      <c r="G59" t="s">
        <v>29</v>
      </c>
      <c r="K59" t="str">
        <v>TOYIN KAYODE</v>
      </c>
    </row>
    <row r="60" spans="1:11" x14ac:dyDescent="0.3">
      <c r="A60" s="3">
        <v>45902</v>
      </c>
      <c r="B60" t="s">
        <v>53</v>
      </c>
      <c r="C60" t="s">
        <v>6</v>
      </c>
      <c r="D60">
        <v>1</v>
      </c>
      <c r="E60" s="1">
        <v>15000</v>
      </c>
      <c r="F60" t="s">
        <v>25</v>
      </c>
      <c r="G60" t="s">
        <v>29</v>
      </c>
      <c r="K60" t="str">
        <v>OLUKEMI AKINDURO</v>
      </c>
    </row>
    <row r="61" spans="1:11" x14ac:dyDescent="0.3">
      <c r="A61" s="3">
        <v>45903</v>
      </c>
      <c r="B61" t="s">
        <v>54</v>
      </c>
      <c r="C61" t="s">
        <v>23</v>
      </c>
      <c r="D61">
        <v>1</v>
      </c>
      <c r="E61" s="1">
        <v>45000</v>
      </c>
      <c r="F61" t="s">
        <v>25</v>
      </c>
      <c r="G61" t="s">
        <v>29</v>
      </c>
      <c r="K61" t="str">
        <v>ABBY</v>
      </c>
    </row>
    <row r="62" spans="1:11" x14ac:dyDescent="0.3">
      <c r="A62" s="3">
        <v>45904</v>
      </c>
      <c r="B62" t="s">
        <v>16</v>
      </c>
      <c r="C62" t="s">
        <v>6</v>
      </c>
      <c r="D62">
        <v>1</v>
      </c>
      <c r="E62" s="1">
        <v>75000</v>
      </c>
      <c r="F62" t="s">
        <v>24</v>
      </c>
      <c r="G62" t="s">
        <v>29</v>
      </c>
      <c r="K62" t="str">
        <v>ADAUGO</v>
      </c>
    </row>
    <row r="63" spans="1:11" x14ac:dyDescent="0.3">
      <c r="A63" s="3">
        <v>45905</v>
      </c>
      <c r="B63" t="s">
        <v>48</v>
      </c>
      <c r="C63" t="s">
        <v>6</v>
      </c>
      <c r="D63">
        <v>1</v>
      </c>
      <c r="E63" s="1">
        <v>30000</v>
      </c>
      <c r="F63" t="s">
        <v>25</v>
      </c>
      <c r="G63" t="s">
        <v>29</v>
      </c>
      <c r="K63" t="str">
        <v>MERCY</v>
      </c>
    </row>
    <row r="64" spans="1:11" x14ac:dyDescent="0.3">
      <c r="A64" s="3">
        <v>45906</v>
      </c>
      <c r="B64" t="s">
        <v>55</v>
      </c>
      <c r="C64" t="s">
        <v>6</v>
      </c>
      <c r="D64">
        <v>1</v>
      </c>
      <c r="E64" s="1">
        <v>110000</v>
      </c>
      <c r="F64" t="s">
        <v>42</v>
      </c>
      <c r="G64" t="s">
        <v>29</v>
      </c>
      <c r="K64" t="str">
        <v>PATIENCE</v>
      </c>
    </row>
    <row r="65" spans="1:11" x14ac:dyDescent="0.3">
      <c r="A65" s="3">
        <v>45907</v>
      </c>
      <c r="B65" t="s">
        <v>56</v>
      </c>
      <c r="C65" t="s">
        <v>6</v>
      </c>
      <c r="D65">
        <v>1</v>
      </c>
      <c r="E65" s="1">
        <v>55000</v>
      </c>
      <c r="F65" t="s">
        <v>61</v>
      </c>
      <c r="G65" t="s">
        <v>29</v>
      </c>
      <c r="K65" t="str">
        <v>WINNIE</v>
      </c>
    </row>
    <row r="66" spans="1:11" x14ac:dyDescent="0.3">
      <c r="A66" s="3">
        <v>45908</v>
      </c>
      <c r="B66" t="s">
        <v>38</v>
      </c>
      <c r="C66" t="s">
        <v>6</v>
      </c>
      <c r="D66">
        <v>1</v>
      </c>
      <c r="E66" s="1">
        <v>80000</v>
      </c>
      <c r="F66" t="s">
        <v>42</v>
      </c>
      <c r="G66" t="s">
        <v>29</v>
      </c>
      <c r="H66" s="7">
        <v>45930</v>
      </c>
      <c r="I66" s="2">
        <f>SUM(E59:E73)</f>
        <v>1185000</v>
      </c>
      <c r="K66" t="str">
        <v>TOKI</v>
      </c>
    </row>
    <row r="67" spans="1:11" x14ac:dyDescent="0.3">
      <c r="A67" s="3">
        <v>45909</v>
      </c>
      <c r="B67" t="s">
        <v>57</v>
      </c>
      <c r="C67" t="s">
        <v>22</v>
      </c>
      <c r="D67">
        <v>1</v>
      </c>
      <c r="E67" s="1">
        <v>60000</v>
      </c>
      <c r="F67" t="s">
        <v>42</v>
      </c>
      <c r="G67" t="s">
        <v>29</v>
      </c>
      <c r="K67" t="str">
        <v>DANIELLA</v>
      </c>
    </row>
    <row r="68" spans="1:11" x14ac:dyDescent="0.3">
      <c r="A68" s="3">
        <v>45910</v>
      </c>
      <c r="B68" t="s">
        <v>58</v>
      </c>
      <c r="C68" t="s">
        <v>6</v>
      </c>
      <c r="D68">
        <v>3</v>
      </c>
      <c r="E68" s="1">
        <v>150000</v>
      </c>
      <c r="F68" t="s">
        <v>24</v>
      </c>
      <c r="G68" t="s">
        <v>29</v>
      </c>
    </row>
    <row r="69" spans="1:11" x14ac:dyDescent="0.3">
      <c r="A69" s="3">
        <v>45911</v>
      </c>
      <c r="B69" t="s">
        <v>58</v>
      </c>
      <c r="C69" t="s">
        <v>23</v>
      </c>
      <c r="D69">
        <v>1</v>
      </c>
      <c r="E69" s="1">
        <v>30000</v>
      </c>
      <c r="F69" t="s">
        <v>24</v>
      </c>
      <c r="G69" t="s">
        <v>29</v>
      </c>
    </row>
    <row r="70" spans="1:11" x14ac:dyDescent="0.3">
      <c r="A70" s="3">
        <v>45912</v>
      </c>
      <c r="B70" t="s">
        <v>58</v>
      </c>
      <c r="C70" t="s">
        <v>26</v>
      </c>
      <c r="D70">
        <v>1</v>
      </c>
      <c r="E70" s="1">
        <v>90000</v>
      </c>
      <c r="F70" t="s">
        <v>24</v>
      </c>
      <c r="G70" t="s">
        <v>29</v>
      </c>
    </row>
    <row r="71" spans="1:11" x14ac:dyDescent="0.3">
      <c r="A71" s="3">
        <v>45913</v>
      </c>
      <c r="B71" t="s">
        <v>43</v>
      </c>
      <c r="C71" t="s">
        <v>6</v>
      </c>
      <c r="D71">
        <v>1</v>
      </c>
      <c r="E71" s="1">
        <v>90000</v>
      </c>
      <c r="F71" t="s">
        <v>27</v>
      </c>
      <c r="G71" t="s">
        <v>29</v>
      </c>
    </row>
    <row r="72" spans="1:11" x14ac:dyDescent="0.3">
      <c r="A72" s="3">
        <v>45914</v>
      </c>
      <c r="B72" t="s">
        <v>59</v>
      </c>
      <c r="C72" t="s">
        <v>60</v>
      </c>
      <c r="D72">
        <v>1</v>
      </c>
      <c r="E72" s="1">
        <v>50000</v>
      </c>
      <c r="F72" t="s">
        <v>25</v>
      </c>
      <c r="G72" t="s">
        <v>29</v>
      </c>
    </row>
    <row r="73" spans="1:11" x14ac:dyDescent="0.3">
      <c r="A73" s="3">
        <v>45915</v>
      </c>
      <c r="B73" t="s">
        <v>19</v>
      </c>
      <c r="C73" t="s">
        <v>6</v>
      </c>
      <c r="D73">
        <v>1</v>
      </c>
      <c r="E73" s="1">
        <v>40000</v>
      </c>
      <c r="F73" t="s">
        <v>27</v>
      </c>
      <c r="G73" t="s">
        <v>29</v>
      </c>
    </row>
    <row r="74" spans="1:11" x14ac:dyDescent="0.3">
      <c r="A74" s="3">
        <v>45931</v>
      </c>
      <c r="B74" t="s">
        <v>55</v>
      </c>
      <c r="C74" t="s">
        <v>22</v>
      </c>
      <c r="D74">
        <v>2</v>
      </c>
      <c r="E74" s="1">
        <v>210000</v>
      </c>
      <c r="F74" t="s">
        <v>42</v>
      </c>
      <c r="G74" t="s">
        <v>29</v>
      </c>
    </row>
    <row r="75" spans="1:11" x14ac:dyDescent="0.3">
      <c r="A75" s="3">
        <v>45932</v>
      </c>
      <c r="B75" t="s">
        <v>55</v>
      </c>
      <c r="C75" t="s">
        <v>62</v>
      </c>
      <c r="D75">
        <v>4</v>
      </c>
      <c r="E75" s="1">
        <v>100000</v>
      </c>
      <c r="F75" t="s">
        <v>42</v>
      </c>
      <c r="G75" t="s">
        <v>29</v>
      </c>
      <c r="H75" s="7">
        <v>45960</v>
      </c>
      <c r="I75" s="2">
        <f>SUM(E74:E76)</f>
        <v>610000</v>
      </c>
    </row>
    <row r="76" spans="1:11" x14ac:dyDescent="0.3">
      <c r="A76" s="3">
        <v>45933</v>
      </c>
      <c r="B76" t="s">
        <v>55</v>
      </c>
      <c r="C76" t="s">
        <v>6</v>
      </c>
      <c r="D76">
        <v>3</v>
      </c>
      <c r="E76" s="1">
        <v>300000</v>
      </c>
      <c r="F76" t="s">
        <v>42</v>
      </c>
      <c r="G76" t="s">
        <v>29</v>
      </c>
    </row>
    <row r="77" spans="1:11" x14ac:dyDescent="0.3">
      <c r="A77" s="3">
        <v>45962</v>
      </c>
      <c r="B77" t="s">
        <v>63</v>
      </c>
      <c r="C77" t="s">
        <v>22</v>
      </c>
      <c r="D77">
        <v>1</v>
      </c>
      <c r="E77" s="1">
        <v>90000</v>
      </c>
      <c r="F77" t="s">
        <v>25</v>
      </c>
      <c r="G77" t="s">
        <v>29</v>
      </c>
    </row>
    <row r="78" spans="1:11" x14ac:dyDescent="0.3">
      <c r="A78" s="3">
        <v>45963</v>
      </c>
      <c r="B78" t="s">
        <v>48</v>
      </c>
      <c r="C78" t="s">
        <v>22</v>
      </c>
      <c r="D78">
        <v>2</v>
      </c>
      <c r="E78" s="1">
        <v>230000</v>
      </c>
      <c r="F78" t="s">
        <v>25</v>
      </c>
      <c r="G78" t="s">
        <v>29</v>
      </c>
    </row>
    <row r="79" spans="1:11" x14ac:dyDescent="0.3">
      <c r="A79" s="3">
        <v>45964</v>
      </c>
      <c r="B79" t="s">
        <v>64</v>
      </c>
      <c r="C79" t="s">
        <v>67</v>
      </c>
      <c r="D79">
        <v>1</v>
      </c>
      <c r="E79" s="1">
        <v>170000</v>
      </c>
      <c r="F79" t="s">
        <v>25</v>
      </c>
      <c r="G79" t="s">
        <v>29</v>
      </c>
      <c r="H79" s="7">
        <v>45991</v>
      </c>
      <c r="I79" s="2">
        <f>SUM(E77:E82)</f>
        <v>885000</v>
      </c>
    </row>
    <row r="80" spans="1:11" x14ac:dyDescent="0.3">
      <c r="A80" s="3">
        <v>45965</v>
      </c>
      <c r="B80" t="s">
        <v>64</v>
      </c>
      <c r="C80" t="s">
        <v>22</v>
      </c>
      <c r="D80">
        <v>1</v>
      </c>
      <c r="E80" s="1">
        <v>200000</v>
      </c>
      <c r="F80" t="s">
        <v>25</v>
      </c>
      <c r="G80" t="s">
        <v>29</v>
      </c>
    </row>
    <row r="81" spans="1:9" x14ac:dyDescent="0.3">
      <c r="A81" s="3">
        <v>45966</v>
      </c>
      <c r="B81" t="s">
        <v>65</v>
      </c>
      <c r="C81" t="s">
        <v>22</v>
      </c>
      <c r="D81">
        <v>2</v>
      </c>
      <c r="E81" s="1">
        <v>150000</v>
      </c>
      <c r="F81" t="s">
        <v>25</v>
      </c>
      <c r="G81" t="s">
        <v>29</v>
      </c>
    </row>
    <row r="82" spans="1:9" x14ac:dyDescent="0.3">
      <c r="A82" s="3">
        <v>45967</v>
      </c>
      <c r="B82" t="s">
        <v>66</v>
      </c>
      <c r="C82" t="s">
        <v>6</v>
      </c>
      <c r="D82">
        <v>1</v>
      </c>
      <c r="E82" s="1">
        <v>45000</v>
      </c>
      <c r="F82" t="s">
        <v>25</v>
      </c>
      <c r="G82" t="s">
        <v>29</v>
      </c>
    </row>
    <row r="83" spans="1:9" x14ac:dyDescent="0.3">
      <c r="A83" s="3">
        <v>45992</v>
      </c>
      <c r="B83" t="s">
        <v>12</v>
      </c>
      <c r="C83" t="s">
        <v>22</v>
      </c>
      <c r="D83">
        <v>1</v>
      </c>
      <c r="E83" s="1">
        <v>90000</v>
      </c>
      <c r="F83" t="s">
        <v>25</v>
      </c>
      <c r="G83" t="s">
        <v>29</v>
      </c>
    </row>
    <row r="84" spans="1:9" x14ac:dyDescent="0.3">
      <c r="A84" s="3">
        <v>45993</v>
      </c>
      <c r="B84" t="s">
        <v>47</v>
      </c>
      <c r="C84" t="s">
        <v>6</v>
      </c>
      <c r="D84">
        <v>1</v>
      </c>
      <c r="E84" s="1">
        <v>180000</v>
      </c>
      <c r="F84" t="s">
        <v>25</v>
      </c>
      <c r="G84" t="s">
        <v>29</v>
      </c>
    </row>
    <row r="85" spans="1:9" x14ac:dyDescent="0.3">
      <c r="A85" s="3">
        <v>45994</v>
      </c>
      <c r="B85" t="s">
        <v>68</v>
      </c>
      <c r="C85" t="s">
        <v>41</v>
      </c>
      <c r="D85">
        <v>1</v>
      </c>
      <c r="E85" s="1">
        <v>180000</v>
      </c>
      <c r="F85" t="s">
        <v>25</v>
      </c>
      <c r="G85" t="s">
        <v>29</v>
      </c>
    </row>
    <row r="86" spans="1:9" x14ac:dyDescent="0.3">
      <c r="A86" s="3">
        <v>45995</v>
      </c>
      <c r="B86" t="s">
        <v>69</v>
      </c>
      <c r="C86" t="s">
        <v>22</v>
      </c>
      <c r="D86">
        <v>1</v>
      </c>
      <c r="E86" s="1">
        <v>110000</v>
      </c>
      <c r="F86" t="s">
        <v>25</v>
      </c>
      <c r="G86" t="s">
        <v>29</v>
      </c>
      <c r="H86" s="7">
        <v>46021</v>
      </c>
      <c r="I86" s="2">
        <f>SUM(E83:E90)</f>
        <v>930000</v>
      </c>
    </row>
    <row r="87" spans="1:9" x14ac:dyDescent="0.3">
      <c r="A87" s="3">
        <v>45996</v>
      </c>
      <c r="B87" t="s">
        <v>50</v>
      </c>
      <c r="C87" t="s">
        <v>72</v>
      </c>
      <c r="D87">
        <v>1</v>
      </c>
      <c r="E87" s="1">
        <v>120000</v>
      </c>
      <c r="F87" t="s">
        <v>42</v>
      </c>
      <c r="G87" t="s">
        <v>29</v>
      </c>
    </row>
    <row r="88" spans="1:9" x14ac:dyDescent="0.3">
      <c r="A88" s="3">
        <v>45997</v>
      </c>
      <c r="B88" t="s">
        <v>70</v>
      </c>
      <c r="C88" t="s">
        <v>6</v>
      </c>
      <c r="D88">
        <v>1</v>
      </c>
      <c r="E88" s="1">
        <v>55000</v>
      </c>
      <c r="F88" t="s">
        <v>7</v>
      </c>
      <c r="G88" t="s">
        <v>29</v>
      </c>
    </row>
    <row r="89" spans="1:9" x14ac:dyDescent="0.3">
      <c r="A89" s="3">
        <v>45998</v>
      </c>
      <c r="B89" t="s">
        <v>71</v>
      </c>
      <c r="C89" t="s">
        <v>22</v>
      </c>
      <c r="D89">
        <v>1</v>
      </c>
      <c r="E89" s="1">
        <v>135000</v>
      </c>
      <c r="F89" t="s">
        <v>24</v>
      </c>
      <c r="G89" t="s">
        <v>29</v>
      </c>
    </row>
    <row r="90" spans="1:9" x14ac:dyDescent="0.3">
      <c r="A90" s="3">
        <v>45999</v>
      </c>
      <c r="B90" t="s">
        <v>31</v>
      </c>
      <c r="C90" t="s">
        <v>6</v>
      </c>
      <c r="D90">
        <v>1</v>
      </c>
      <c r="E90" s="1">
        <v>60000</v>
      </c>
      <c r="F90" t="s">
        <v>25</v>
      </c>
      <c r="G90" t="s">
        <v>29</v>
      </c>
    </row>
    <row r="91" spans="1:9" x14ac:dyDescent="0.3">
      <c r="A91" s="3">
        <v>46023</v>
      </c>
      <c r="B91" t="s">
        <v>73</v>
      </c>
      <c r="C91" t="s">
        <v>22</v>
      </c>
      <c r="D91">
        <v>1</v>
      </c>
      <c r="E91" s="1">
        <v>200000</v>
      </c>
      <c r="F91" t="s">
        <v>84</v>
      </c>
      <c r="G91" t="s">
        <v>29</v>
      </c>
    </row>
    <row r="92" spans="1:9" x14ac:dyDescent="0.3">
      <c r="A92" s="3">
        <v>46024</v>
      </c>
      <c r="B92" t="s">
        <v>74</v>
      </c>
      <c r="C92" t="s">
        <v>6</v>
      </c>
      <c r="D92">
        <v>3</v>
      </c>
      <c r="E92" s="1">
        <v>150000</v>
      </c>
      <c r="F92" t="s">
        <v>27</v>
      </c>
      <c r="G92" t="s">
        <v>29</v>
      </c>
    </row>
    <row r="93" spans="1:9" x14ac:dyDescent="0.3">
      <c r="A93" s="3">
        <v>46025</v>
      </c>
      <c r="B93" t="s">
        <v>46</v>
      </c>
      <c r="C93" t="s">
        <v>6</v>
      </c>
      <c r="D93">
        <v>2</v>
      </c>
      <c r="E93" s="1">
        <v>50000</v>
      </c>
      <c r="F93" t="s">
        <v>7</v>
      </c>
      <c r="G93" t="s">
        <v>29</v>
      </c>
    </row>
    <row r="94" spans="1:9" x14ac:dyDescent="0.3">
      <c r="A94" s="3">
        <v>46026</v>
      </c>
      <c r="B94" t="s">
        <v>16</v>
      </c>
      <c r="C94" t="s">
        <v>6</v>
      </c>
      <c r="D94">
        <v>8</v>
      </c>
      <c r="E94" s="1">
        <v>447000</v>
      </c>
      <c r="F94" t="s">
        <v>24</v>
      </c>
      <c r="G94" t="s">
        <v>29</v>
      </c>
    </row>
    <row r="95" spans="1:9" x14ac:dyDescent="0.3">
      <c r="A95" s="3">
        <v>46027</v>
      </c>
      <c r="B95" t="s">
        <v>11</v>
      </c>
      <c r="C95" t="s">
        <v>6</v>
      </c>
      <c r="D95">
        <v>10</v>
      </c>
      <c r="E95" s="1">
        <v>410000</v>
      </c>
      <c r="F95" t="s">
        <v>7</v>
      </c>
      <c r="G95" t="s">
        <v>29</v>
      </c>
    </row>
    <row r="96" spans="1:9" x14ac:dyDescent="0.3">
      <c r="A96" s="3">
        <v>46028</v>
      </c>
      <c r="B96" t="s">
        <v>55</v>
      </c>
      <c r="C96" t="s">
        <v>6</v>
      </c>
      <c r="D96">
        <v>9</v>
      </c>
      <c r="E96" s="1">
        <v>498000</v>
      </c>
      <c r="F96" t="s">
        <v>42</v>
      </c>
      <c r="G96" t="s">
        <v>29</v>
      </c>
      <c r="H96" s="7">
        <v>46052</v>
      </c>
      <c r="I96" s="2">
        <f>SUM(E91:E101)</f>
        <v>2789000</v>
      </c>
    </row>
    <row r="97" spans="1:9" x14ac:dyDescent="0.3">
      <c r="A97" s="3">
        <v>46029</v>
      </c>
      <c r="B97" t="s">
        <v>75</v>
      </c>
      <c r="C97" t="s">
        <v>79</v>
      </c>
      <c r="D97">
        <v>6</v>
      </c>
      <c r="E97" s="1">
        <v>520000</v>
      </c>
      <c r="F97" t="s">
        <v>25</v>
      </c>
      <c r="G97" t="s">
        <v>29</v>
      </c>
    </row>
    <row r="98" spans="1:9" x14ac:dyDescent="0.3">
      <c r="A98" s="3">
        <v>46030</v>
      </c>
      <c r="B98" t="s">
        <v>75</v>
      </c>
      <c r="C98" t="s">
        <v>79</v>
      </c>
      <c r="D98">
        <v>2</v>
      </c>
      <c r="E98" s="1">
        <v>0</v>
      </c>
      <c r="F98" t="s">
        <v>25</v>
      </c>
      <c r="G98" t="s">
        <v>29</v>
      </c>
    </row>
    <row r="99" spans="1:9" x14ac:dyDescent="0.3">
      <c r="A99" s="3">
        <v>46031</v>
      </c>
      <c r="B99" t="s">
        <v>48</v>
      </c>
      <c r="C99" t="s">
        <v>72</v>
      </c>
      <c r="D99">
        <v>1</v>
      </c>
      <c r="E99" s="1">
        <v>114000</v>
      </c>
      <c r="F99" t="s">
        <v>85</v>
      </c>
      <c r="G99" t="s">
        <v>29</v>
      </c>
    </row>
    <row r="100" spans="1:9" x14ac:dyDescent="0.3">
      <c r="A100" s="3">
        <v>46032</v>
      </c>
      <c r="B100" t="s">
        <v>21</v>
      </c>
      <c r="C100" t="s">
        <v>72</v>
      </c>
      <c r="D100">
        <v>1</v>
      </c>
      <c r="E100" s="1">
        <v>190000</v>
      </c>
      <c r="F100" t="s">
        <v>85</v>
      </c>
      <c r="G100" t="s">
        <v>29</v>
      </c>
    </row>
    <row r="101" spans="1:9" x14ac:dyDescent="0.3">
      <c r="A101" s="3">
        <v>46033</v>
      </c>
      <c r="B101" t="s">
        <v>76</v>
      </c>
      <c r="C101" t="s">
        <v>80</v>
      </c>
      <c r="D101">
        <v>1</v>
      </c>
      <c r="E101" s="1">
        <v>210000</v>
      </c>
      <c r="F101" t="s">
        <v>85</v>
      </c>
      <c r="G101" t="s">
        <v>29</v>
      </c>
      <c r="I101" s="8">
        <v>46052</v>
      </c>
    </row>
    <row r="102" spans="1:9" x14ac:dyDescent="0.3">
      <c r="A102" s="3">
        <v>46054</v>
      </c>
      <c r="B102" t="s">
        <v>13</v>
      </c>
      <c r="C102" t="s">
        <v>23</v>
      </c>
      <c r="D102">
        <v>2</v>
      </c>
      <c r="E102" s="1">
        <v>30000</v>
      </c>
      <c r="F102" t="s">
        <v>42</v>
      </c>
      <c r="G102" t="s">
        <v>29</v>
      </c>
    </row>
    <row r="103" spans="1:9" x14ac:dyDescent="0.3">
      <c r="A103" s="3">
        <v>46055</v>
      </c>
      <c r="B103" t="s">
        <v>77</v>
      </c>
      <c r="C103" t="s">
        <v>22</v>
      </c>
      <c r="D103">
        <v>2</v>
      </c>
      <c r="E103" s="1">
        <v>130000</v>
      </c>
      <c r="F103" t="s">
        <v>24</v>
      </c>
      <c r="G103" t="s">
        <v>29</v>
      </c>
    </row>
    <row r="104" spans="1:9" x14ac:dyDescent="0.3">
      <c r="A104" s="3">
        <v>46056</v>
      </c>
      <c r="B104" t="s">
        <v>63</v>
      </c>
      <c r="C104" t="s">
        <v>81</v>
      </c>
      <c r="D104">
        <v>1</v>
      </c>
      <c r="E104" s="1">
        <v>40000</v>
      </c>
      <c r="F104" t="s">
        <v>85</v>
      </c>
      <c r="G104" t="s">
        <v>29</v>
      </c>
    </row>
    <row r="105" spans="1:9" x14ac:dyDescent="0.3">
      <c r="A105" s="3">
        <v>46057</v>
      </c>
      <c r="B105" t="s">
        <v>78</v>
      </c>
      <c r="C105" t="s">
        <v>82</v>
      </c>
      <c r="D105">
        <v>1</v>
      </c>
      <c r="E105" s="1">
        <v>350000</v>
      </c>
      <c r="F105" t="s">
        <v>85</v>
      </c>
      <c r="G105" t="s">
        <v>29</v>
      </c>
      <c r="H105" s="7">
        <v>46080</v>
      </c>
      <c r="I105" s="2">
        <f>SUM(E102:E108)</f>
        <v>1225000</v>
      </c>
    </row>
    <row r="106" spans="1:9" x14ac:dyDescent="0.3">
      <c r="A106" s="3">
        <v>46058</v>
      </c>
      <c r="B106" t="s">
        <v>78</v>
      </c>
      <c r="C106" t="s">
        <v>83</v>
      </c>
      <c r="D106">
        <v>1</v>
      </c>
      <c r="E106" s="1">
        <v>500000</v>
      </c>
      <c r="F106" t="s">
        <v>25</v>
      </c>
      <c r="G106" t="s">
        <v>29</v>
      </c>
    </row>
    <row r="107" spans="1:9" x14ac:dyDescent="0.3">
      <c r="A107" s="3">
        <v>46059</v>
      </c>
      <c r="B107" t="s">
        <v>12</v>
      </c>
      <c r="C107" t="s">
        <v>26</v>
      </c>
      <c r="D107">
        <v>1</v>
      </c>
      <c r="E107" s="1">
        <v>95000</v>
      </c>
      <c r="F107" t="s">
        <v>25</v>
      </c>
      <c r="G107" t="s">
        <v>29</v>
      </c>
    </row>
    <row r="108" spans="1:9" x14ac:dyDescent="0.3">
      <c r="A108" s="3">
        <v>46060</v>
      </c>
      <c r="B108" t="s">
        <v>70</v>
      </c>
      <c r="C108" t="s">
        <v>6</v>
      </c>
      <c r="D108">
        <v>1</v>
      </c>
      <c r="E108" s="1">
        <v>80000</v>
      </c>
      <c r="F108" t="s">
        <v>7</v>
      </c>
      <c r="G108" t="s">
        <v>29</v>
      </c>
    </row>
    <row r="109" spans="1:9" x14ac:dyDescent="0.3">
      <c r="A109" s="3">
        <v>46082</v>
      </c>
      <c r="B109" t="s">
        <v>16</v>
      </c>
      <c r="C109" t="s">
        <v>22</v>
      </c>
      <c r="D109">
        <v>11</v>
      </c>
      <c r="E109" s="1">
        <v>575000</v>
      </c>
      <c r="F109" t="s">
        <v>24</v>
      </c>
      <c r="G109" t="s">
        <v>29</v>
      </c>
    </row>
    <row r="110" spans="1:9" x14ac:dyDescent="0.3">
      <c r="A110" s="3">
        <v>46083</v>
      </c>
      <c r="B110" t="s">
        <v>76</v>
      </c>
      <c r="C110" t="s">
        <v>90</v>
      </c>
      <c r="D110">
        <v>1</v>
      </c>
      <c r="E110" s="1">
        <v>285000</v>
      </c>
      <c r="F110" t="s">
        <v>85</v>
      </c>
      <c r="G110" t="s">
        <v>29</v>
      </c>
    </row>
    <row r="111" spans="1:9" x14ac:dyDescent="0.3">
      <c r="A111" s="3">
        <v>46084</v>
      </c>
      <c r="B111" t="s">
        <v>11</v>
      </c>
      <c r="C111" t="s">
        <v>6</v>
      </c>
      <c r="D111">
        <v>2</v>
      </c>
      <c r="E111" s="1">
        <v>130000</v>
      </c>
      <c r="F111" t="s">
        <v>7</v>
      </c>
      <c r="G111" t="s">
        <v>29</v>
      </c>
    </row>
    <row r="112" spans="1:9" x14ac:dyDescent="0.3">
      <c r="A112" s="3">
        <v>46085</v>
      </c>
      <c r="B112" t="s">
        <v>77</v>
      </c>
      <c r="C112" t="s">
        <v>22</v>
      </c>
      <c r="D112">
        <v>1</v>
      </c>
      <c r="E112" s="1">
        <v>95000</v>
      </c>
      <c r="F112" t="s">
        <v>24</v>
      </c>
      <c r="G112" t="s">
        <v>29</v>
      </c>
      <c r="H112" s="7">
        <v>45717</v>
      </c>
      <c r="I112" s="2">
        <f>SUM(E109:E114)</f>
        <v>1260000</v>
      </c>
    </row>
    <row r="113" spans="1:9" x14ac:dyDescent="0.3">
      <c r="A113" s="3">
        <v>46086</v>
      </c>
      <c r="B113" t="s">
        <v>86</v>
      </c>
      <c r="C113" t="s">
        <v>23</v>
      </c>
      <c r="D113">
        <v>3</v>
      </c>
      <c r="E113" s="1">
        <v>80000</v>
      </c>
      <c r="F113" t="s">
        <v>7</v>
      </c>
      <c r="G113" t="s">
        <v>29</v>
      </c>
    </row>
    <row r="114" spans="1:9" x14ac:dyDescent="0.3">
      <c r="A114" s="3">
        <v>46087</v>
      </c>
      <c r="B114" t="s">
        <v>87</v>
      </c>
      <c r="C114" t="s">
        <v>6</v>
      </c>
      <c r="D114">
        <v>1</v>
      </c>
      <c r="E114" s="1">
        <v>95000</v>
      </c>
      <c r="F114" t="s">
        <v>7</v>
      </c>
      <c r="G114" t="s">
        <v>29</v>
      </c>
    </row>
    <row r="115" spans="1:9" x14ac:dyDescent="0.3">
      <c r="A115" s="3">
        <v>46113</v>
      </c>
      <c r="B115" t="s">
        <v>21</v>
      </c>
      <c r="C115" t="s">
        <v>6</v>
      </c>
      <c r="D115">
        <v>1</v>
      </c>
      <c r="E115" s="1">
        <v>50000</v>
      </c>
      <c r="F115" t="s">
        <v>85</v>
      </c>
      <c r="G115" t="s">
        <v>29</v>
      </c>
    </row>
    <row r="116" spans="1:9" x14ac:dyDescent="0.3">
      <c r="A116" s="3">
        <v>46114</v>
      </c>
      <c r="B116" t="s">
        <v>75</v>
      </c>
      <c r="C116" t="s">
        <v>91</v>
      </c>
      <c r="D116">
        <v>2</v>
      </c>
      <c r="E116" s="1">
        <v>510000</v>
      </c>
      <c r="F116" t="s">
        <v>25</v>
      </c>
      <c r="G116" t="s">
        <v>29</v>
      </c>
    </row>
    <row r="117" spans="1:9" x14ac:dyDescent="0.3">
      <c r="A117" s="3">
        <v>46115</v>
      </c>
      <c r="B117" t="s">
        <v>11</v>
      </c>
      <c r="C117" t="s">
        <v>6</v>
      </c>
      <c r="D117">
        <v>1</v>
      </c>
      <c r="E117" s="1">
        <v>65000</v>
      </c>
      <c r="F117" t="s">
        <v>7</v>
      </c>
      <c r="G117" t="s">
        <v>29</v>
      </c>
    </row>
    <row r="118" spans="1:9" x14ac:dyDescent="0.3">
      <c r="A118" s="3">
        <v>46116</v>
      </c>
      <c r="B118" t="s">
        <v>88</v>
      </c>
      <c r="C118" t="s">
        <v>6</v>
      </c>
      <c r="D118">
        <v>4</v>
      </c>
      <c r="E118" s="1">
        <v>70000</v>
      </c>
      <c r="F118" t="s">
        <v>25</v>
      </c>
      <c r="G118" t="s">
        <v>29</v>
      </c>
      <c r="H118" s="7">
        <v>46142</v>
      </c>
      <c r="I118" s="2">
        <f>SUM(E115:E122)</f>
        <v>1095000</v>
      </c>
    </row>
    <row r="119" spans="1:9" x14ac:dyDescent="0.3">
      <c r="A119" s="3">
        <v>46117</v>
      </c>
      <c r="B119" t="s">
        <v>12</v>
      </c>
      <c r="C119" t="s">
        <v>72</v>
      </c>
      <c r="D119">
        <v>1</v>
      </c>
      <c r="E119" s="1">
        <v>210000</v>
      </c>
      <c r="F119" t="s">
        <v>25</v>
      </c>
      <c r="G119" t="s">
        <v>29</v>
      </c>
    </row>
    <row r="120" spans="1:9" x14ac:dyDescent="0.3">
      <c r="A120" s="3">
        <v>46118</v>
      </c>
      <c r="B120" t="s">
        <v>86</v>
      </c>
      <c r="C120" t="s">
        <v>26</v>
      </c>
      <c r="D120">
        <v>1</v>
      </c>
      <c r="E120" s="1">
        <v>100000</v>
      </c>
      <c r="F120" t="s">
        <v>7</v>
      </c>
      <c r="G120" t="s">
        <v>29</v>
      </c>
    </row>
    <row r="121" spans="1:9" x14ac:dyDescent="0.3">
      <c r="A121" s="3">
        <v>46119</v>
      </c>
      <c r="B121" t="s">
        <v>89</v>
      </c>
      <c r="C121" t="s">
        <v>22</v>
      </c>
      <c r="D121">
        <v>1</v>
      </c>
      <c r="E121" s="1">
        <v>60000</v>
      </c>
      <c r="F121" t="s">
        <v>25</v>
      </c>
      <c r="G121" t="s">
        <v>29</v>
      </c>
    </row>
    <row r="122" spans="1:9" x14ac:dyDescent="0.3">
      <c r="A122" s="3">
        <v>46120</v>
      </c>
      <c r="B122" t="s">
        <v>89</v>
      </c>
      <c r="C122" t="s">
        <v>23</v>
      </c>
      <c r="D122">
        <v>1</v>
      </c>
      <c r="E122" s="1">
        <v>30000</v>
      </c>
      <c r="F122" t="s">
        <v>25</v>
      </c>
      <c r="G122" t="s">
        <v>29</v>
      </c>
    </row>
    <row r="123" spans="1:9" x14ac:dyDescent="0.3">
      <c r="A123" s="3">
        <v>46143</v>
      </c>
      <c r="B123" t="s">
        <v>92</v>
      </c>
      <c r="C123" t="s">
        <v>72</v>
      </c>
      <c r="D123">
        <v>1</v>
      </c>
      <c r="E123" s="1">
        <v>230000</v>
      </c>
      <c r="F123" t="s">
        <v>25</v>
      </c>
      <c r="G123" t="s">
        <v>29</v>
      </c>
    </row>
    <row r="124" spans="1:9" x14ac:dyDescent="0.3">
      <c r="A124" s="3">
        <v>46144</v>
      </c>
      <c r="B124" t="s">
        <v>93</v>
      </c>
      <c r="C124" t="s">
        <v>95</v>
      </c>
      <c r="D124">
        <v>1</v>
      </c>
      <c r="E124" s="1">
        <v>200000</v>
      </c>
      <c r="F124" t="s">
        <v>24</v>
      </c>
      <c r="G124" t="s">
        <v>29</v>
      </c>
      <c r="H124" s="7">
        <v>46172</v>
      </c>
      <c r="I124" s="2">
        <f>SUM(E123:E126)</f>
        <v>600000</v>
      </c>
    </row>
    <row r="125" spans="1:9" x14ac:dyDescent="0.3">
      <c r="A125" s="3">
        <v>46145</v>
      </c>
      <c r="B125" t="s">
        <v>94</v>
      </c>
      <c r="C125" t="s">
        <v>96</v>
      </c>
      <c r="D125">
        <v>1</v>
      </c>
      <c r="E125" s="1">
        <v>120000</v>
      </c>
      <c r="F125" t="s">
        <v>24</v>
      </c>
      <c r="G125" t="s">
        <v>29</v>
      </c>
    </row>
    <row r="126" spans="1:9" x14ac:dyDescent="0.3">
      <c r="A126" s="3">
        <v>46146</v>
      </c>
      <c r="B126" t="s">
        <v>94</v>
      </c>
      <c r="C126" t="s">
        <v>97</v>
      </c>
      <c r="D126">
        <v>1</v>
      </c>
      <c r="E126" s="1">
        <v>50000</v>
      </c>
      <c r="F126" t="s">
        <v>24</v>
      </c>
      <c r="G126" t="s">
        <v>29</v>
      </c>
    </row>
    <row r="128" spans="1:9" x14ac:dyDescent="0.3">
      <c r="D128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0E98-8AC6-4E34-B378-1C1055591553}">
  <dimension ref="A1"/>
  <sheetViews>
    <sheetView topLeftCell="A2" workbookViewId="0">
      <selection activeCell="A3" sqref="A3:F118"/>
    </sheetView>
  </sheetViews>
  <sheetFormatPr defaultRowHeight="14.4" x14ac:dyDescent="0.3"/>
  <cols>
    <col min="4" max="4" width="8.8867187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A4A5-E271-4A25-9AEF-8BD7BB77FDA1}">
  <dimension ref="A1:I1"/>
  <sheetViews>
    <sheetView tabSelected="1" zoomScale="102" workbookViewId="0">
      <selection activeCell="B4" sqref="B4"/>
    </sheetView>
  </sheetViews>
  <sheetFormatPr defaultRowHeight="14.4" x14ac:dyDescent="0.3"/>
  <cols>
    <col min="1" max="1" width="13.109375" style="8" customWidth="1"/>
    <col min="2" max="2" width="35.5546875" customWidth="1"/>
    <col min="3" max="3" width="32.77734375" customWidth="1"/>
    <col min="4" max="4" width="11.6640625" customWidth="1"/>
    <col min="5" max="5" width="15.33203125" style="9" customWidth="1"/>
    <col min="6" max="6" width="15.88671875" customWidth="1"/>
    <col min="7" max="7" width="16.5546875" customWidth="1"/>
    <col min="8" max="8" width="32.21875" customWidth="1"/>
    <col min="9" max="9" width="21" customWidth="1"/>
  </cols>
  <sheetData>
    <row r="1" spans="1:9" x14ac:dyDescent="0.3">
      <c r="A1" s="8" t="s">
        <v>5</v>
      </c>
      <c r="B1" t="s">
        <v>0</v>
      </c>
      <c r="C1" t="s">
        <v>110</v>
      </c>
      <c r="D1" t="s">
        <v>111</v>
      </c>
      <c r="E1" s="9" t="s">
        <v>28</v>
      </c>
      <c r="F1" t="s">
        <v>112</v>
      </c>
      <c r="G1" t="s">
        <v>113</v>
      </c>
      <c r="H1" t="s">
        <v>114</v>
      </c>
      <c r="I1" t="s">
        <v>115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Sheet6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2026-05-13T20:47:44Z</cp:lastPrinted>
  <dcterms:created xsi:type="dcterms:W3CDTF">2026-05-12T07:56:36Z</dcterms:created>
  <dcterms:modified xsi:type="dcterms:W3CDTF">2026-05-16T21:03:53Z</dcterms:modified>
</cp:coreProperties>
</file>